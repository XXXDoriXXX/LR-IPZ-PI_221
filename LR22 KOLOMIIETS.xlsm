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vadym\OneDrive\Рабочий стол\"/>
    </mc:Choice>
  </mc:AlternateContent>
  <xr:revisionPtr revIDLastSave="0" documentId="13_ncr:1_{AD12FE7E-FB9F-47EE-A0C1-08CED6D586F4}" xr6:coauthVersionLast="47" xr6:coauthVersionMax="47" xr10:uidLastSave="{00000000-0000-0000-0000-000000000000}"/>
  <bookViews>
    <workbookView xWindow="-110" yWindow="370" windowWidth="19420" windowHeight="11740" xr2:uid="{653841C1-569D-442F-B91E-E2EC6EC94FC0}"/>
  </bookViews>
  <sheets>
    <sheet name="макроси" sheetId="1" r:id="rId1"/>
  </sheets>
  <functionGroups builtInGroupCount="19"/>
  <calcPr calcId="191029" iterate="1" iterateCount="1000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" l="1" a="1"/>
  <c r="L7" i="1" a="1"/>
  <c r="L9" i="1" a="1"/>
  <c r="K7" i="1" a="1"/>
  <c r="K11" i="1" a="1"/>
  <c r="K9" i="1" a="1"/>
  <c r="K10" i="1" a="1"/>
  <c r="K8" i="1" a="1"/>
  <c r="L9" i="1" l="1"/>
  <c r="L7" i="1"/>
  <c r="L8" i="1"/>
  <c r="K8" i="1"/>
  <c r="K10" i="1"/>
  <c r="K9" i="1"/>
  <c r="K11" i="1"/>
  <c r="K7" i="1"/>
  <c r="M10" i="1" a="1"/>
  <c r="N10" i="1" a="1"/>
  <c r="O10" i="1" a="1"/>
  <c r="P10" i="1" a="1"/>
  <c r="M9" i="1" a="1"/>
  <c r="N9" i="1" a="1"/>
  <c r="O9" i="1" a="1"/>
  <c r="P9" i="1" a="1"/>
  <c r="M11" i="1" a="1"/>
  <c r="N11" i="1" a="1"/>
  <c r="O11" i="1" a="1"/>
  <c r="P11" i="1" a="1"/>
  <c r="M8" i="1" a="1"/>
  <c r="N8" i="1" a="1"/>
  <c r="O8" i="1" a="1"/>
  <c r="P8" i="1" a="1"/>
  <c r="M7" i="1" a="1"/>
  <c r="N7" i="1" a="1"/>
  <c r="O7" i="1" a="1"/>
  <c r="P7" i="1" a="1"/>
  <c r="P7" i="1" l="1"/>
  <c r="O7" i="1"/>
  <c r="N7" i="1"/>
  <c r="M7" i="1"/>
  <c r="P8" i="1"/>
  <c r="O8" i="1"/>
  <c r="N8" i="1"/>
  <c r="M8" i="1"/>
  <c r="P11" i="1"/>
  <c r="O11" i="1"/>
  <c r="N11" i="1"/>
  <c r="M11" i="1"/>
  <c r="P9" i="1"/>
  <c r="O9" i="1"/>
  <c r="N9" i="1"/>
  <c r="M9" i="1"/>
  <c r="P10" i="1"/>
  <c r="O10" i="1"/>
  <c r="N10" i="1"/>
  <c r="M10" i="1"/>
  <c r="S7" i="1" l="1"/>
  <c r="S8" i="1"/>
  <c r="S9" i="1"/>
  <c r="S10" i="1"/>
  <c r="S11" i="1"/>
  <c r="S6" i="1"/>
  <c r="C2" i="1" l="1"/>
  <c r="K6" i="1" a="1"/>
  <c r="K6" i="1" l="1"/>
  <c r="J6" i="1"/>
  <c r="J7" i="1"/>
  <c r="J9" i="1"/>
  <c r="J10" i="1"/>
  <c r="J11" i="1"/>
  <c r="J8" i="1"/>
  <c r="O6" i="1" a="1"/>
  <c r="P6" i="1" a="1"/>
  <c r="N6" i="1" a="1"/>
  <c r="M6" i="1" a="1"/>
  <c r="L11" i="1" a="1"/>
  <c r="L6" i="1" a="1"/>
  <c r="L10" i="1" a="1"/>
  <c r="O6" i="1" l="1"/>
  <c r="L10" i="1"/>
  <c r="L11" i="1"/>
  <c r="L6" i="1"/>
  <c r="Q6" i="1"/>
  <c r="M6" i="1"/>
  <c r="P6" i="1"/>
  <c r="K13" i="1"/>
  <c r="K12" i="1"/>
  <c r="N6" i="1"/>
  <c r="Q9" i="1" l="1"/>
  <c r="R9" i="1" s="1"/>
  <c r="Q7" i="1"/>
  <c r="R7" i="1" s="1"/>
  <c r="Q10" i="1"/>
  <c r="R10" i="1" s="1"/>
  <c r="Q8" i="1"/>
  <c r="R8" i="1" s="1"/>
  <c r="Q11" i="1"/>
  <c r="R11" i="1" s="1"/>
  <c r="M13" i="1"/>
  <c r="M12" i="1"/>
  <c r="N13" i="1"/>
  <c r="N12" i="1"/>
  <c r="O12" i="1"/>
  <c r="O13" i="1"/>
  <c r="R6" i="1"/>
  <c r="P13" i="1"/>
  <c r="P12" i="1"/>
  <c r="L12" i="1"/>
  <c r="L13" i="1"/>
  <c r="R13" i="1" l="1"/>
  <c r="R12" i="1"/>
  <c r="Q13" i="1"/>
  <c r="Q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<sst xmlns="http://schemas.openxmlformats.org/spreadsheetml/2006/main" count="66" uniqueCount="66">
  <si>
    <t>Курс, грн. До $</t>
  </si>
  <si>
    <t>Поточна дата</t>
  </si>
  <si>
    <t>Відомість нарахування у ПФ "Черепій"</t>
  </si>
  <si>
    <t>Номер</t>
  </si>
  <si>
    <t>Прізвище</t>
  </si>
  <si>
    <t>Тариф, грн/день</t>
  </si>
  <si>
    <t>Прийнято на роботу</t>
  </si>
  <si>
    <t>Наявність прогулів</t>
  </si>
  <si>
    <t>Наявність браку</t>
  </si>
  <si>
    <t>Премія</t>
  </si>
  <si>
    <t>Прибутковий податок</t>
  </si>
  <si>
    <t>Пенсійний фонд.</t>
  </si>
  <si>
    <t>На руки. грн.</t>
  </si>
  <si>
    <t>На руки, $</t>
  </si>
  <si>
    <t>Всього</t>
  </si>
  <si>
    <t>Максимальне значення</t>
  </si>
  <si>
    <t>Обчислити кількість повних місяців</t>
  </si>
  <si>
    <t>Обчислити відпрацьовано днів</t>
  </si>
  <si>
    <r>
      <t xml:space="preserve">Обчислити </t>
    </r>
    <r>
      <rPr>
        <b/>
        <sz val="5"/>
        <color theme="1"/>
        <rFont val="Calibri"/>
        <family val="2"/>
        <charset val="204"/>
        <scheme val="minor"/>
      </rPr>
      <t>Нараховано за період роботи</t>
    </r>
    <r>
      <rPr>
        <sz val="5"/>
        <color theme="1"/>
        <rFont val="Calibri"/>
        <family val="2"/>
        <charset val="204"/>
        <scheme val="minor"/>
      </rPr>
      <t xml:space="preserve"> (=тариф*відпрацьовано днів)</t>
    </r>
  </si>
  <si>
    <r>
      <t xml:space="preserve">Обчислити </t>
    </r>
    <r>
      <rPr>
        <b/>
        <sz val="5"/>
        <color theme="1"/>
        <rFont val="Calibri"/>
        <family val="2"/>
        <charset val="204"/>
        <scheme val="minor"/>
      </rPr>
      <t>Премія</t>
    </r>
    <r>
      <rPr>
        <sz val="5"/>
        <color theme="1"/>
        <rFont val="Calibri"/>
        <family val="2"/>
        <charset val="204"/>
        <scheme val="minor"/>
      </rPr>
      <t xml:space="preserve">  </t>
    </r>
  </si>
  <si>
    <r>
      <t xml:space="preserve">якщо працівник має брак або прогул  </t>
    </r>
    <r>
      <rPr>
        <b/>
        <sz val="5"/>
        <color theme="1"/>
        <rFont val="Calibri"/>
        <family val="2"/>
        <charset val="204"/>
        <scheme val="minor"/>
      </rPr>
      <t>Премія</t>
    </r>
    <r>
      <rPr>
        <sz val="5"/>
        <color theme="1"/>
        <rFont val="Calibri"/>
        <family val="2"/>
        <charset val="204"/>
        <scheme val="minor"/>
      </rPr>
      <t xml:space="preserve"> = 0</t>
    </r>
  </si>
  <si>
    <r>
      <t xml:space="preserve">якщо нараховано за період роботи до 1700 грн </t>
    </r>
    <r>
      <rPr>
        <b/>
        <sz val="5"/>
        <color theme="1"/>
        <rFont val="Calibri"/>
        <family val="2"/>
        <charset val="204"/>
        <scheme val="minor"/>
      </rPr>
      <t>Податок=0</t>
    </r>
  </si>
  <si>
    <r>
      <t xml:space="preserve">якщо нараховано за період роботи від 1700 грн  до 8500грн  </t>
    </r>
    <r>
      <rPr>
        <b/>
        <sz val="5"/>
        <color theme="1"/>
        <rFont val="Calibri"/>
        <family val="2"/>
        <charset val="204"/>
        <scheme val="minor"/>
      </rPr>
      <t xml:space="preserve">Податок </t>
    </r>
    <r>
      <rPr>
        <sz val="5"/>
        <color theme="1"/>
        <rFont val="Calibri"/>
        <family val="2"/>
        <charset val="204"/>
        <scheme val="minor"/>
      </rPr>
      <t>=   10% від суми що перевищує 1700 грн.</t>
    </r>
  </si>
  <si>
    <r>
      <t xml:space="preserve">якщо нараховано за період роботи від 8 500 грн  до 17 000 грн  </t>
    </r>
    <r>
      <rPr>
        <b/>
        <sz val="5"/>
        <color theme="1"/>
        <rFont val="Calibri"/>
        <family val="2"/>
        <charset val="204"/>
        <scheme val="minor"/>
      </rPr>
      <t xml:space="preserve">Податок </t>
    </r>
    <r>
      <rPr>
        <sz val="5"/>
        <color theme="1"/>
        <rFont val="Calibri"/>
        <family val="2"/>
        <charset val="204"/>
        <scheme val="minor"/>
      </rPr>
      <t>= 680+  15% від суми що перевищує 8500 грн.</t>
    </r>
  </si>
  <si>
    <r>
      <t xml:space="preserve">якщо нараховано за період роботи від 17 000 грн  до 102 000 грн  </t>
    </r>
    <r>
      <rPr>
        <b/>
        <sz val="5"/>
        <color theme="1"/>
        <rFont val="Calibri"/>
        <family val="2"/>
        <charset val="204"/>
        <scheme val="minor"/>
      </rPr>
      <t xml:space="preserve">Податок </t>
    </r>
    <r>
      <rPr>
        <sz val="5"/>
        <color theme="1"/>
        <rFont val="Calibri"/>
        <family val="2"/>
        <charset val="204"/>
        <scheme val="minor"/>
      </rPr>
      <t>= 1955+  20% від суми що перевищує 17 000 грн.</t>
    </r>
  </si>
  <si>
    <r>
      <t xml:space="preserve">якщо нараховано за період роботи від 102 000 грн  до 170 000 грн  </t>
    </r>
    <r>
      <rPr>
        <b/>
        <sz val="5"/>
        <color theme="1"/>
        <rFont val="Calibri"/>
        <family val="2"/>
        <charset val="204"/>
        <scheme val="minor"/>
      </rPr>
      <t xml:space="preserve">Податок </t>
    </r>
    <r>
      <rPr>
        <sz val="5"/>
        <color theme="1"/>
        <rFont val="Calibri"/>
        <family val="2"/>
        <charset val="204"/>
        <scheme val="minor"/>
      </rPr>
      <t>= 18955 +  30% від суми що перевищує 102 000 грн.</t>
    </r>
  </si>
  <si>
    <r>
      <t xml:space="preserve">якщо нараховано за період роботи більше 170 000 грн  </t>
    </r>
    <r>
      <rPr>
        <b/>
        <sz val="5"/>
        <color theme="1"/>
        <rFont val="Calibri"/>
        <family val="2"/>
        <charset val="204"/>
        <scheme val="minor"/>
      </rPr>
      <t xml:space="preserve">Податок </t>
    </r>
    <r>
      <rPr>
        <sz val="5"/>
        <color theme="1"/>
        <rFont val="Calibri"/>
        <family val="2"/>
        <charset val="204"/>
        <scheme val="minor"/>
      </rPr>
      <t>= 39355 +  40% від суми що перевищує 170 000 грн.</t>
    </r>
  </si>
  <si>
    <r>
      <t xml:space="preserve">Обчислити </t>
    </r>
    <r>
      <rPr>
        <b/>
        <sz val="5"/>
        <color theme="1"/>
        <rFont val="Calibri"/>
        <family val="2"/>
        <charset val="204"/>
        <scheme val="minor"/>
      </rPr>
      <t xml:space="preserve">Прибутковий податок </t>
    </r>
  </si>
  <si>
    <r>
      <t xml:space="preserve">Обчислити </t>
    </r>
    <r>
      <rPr>
        <b/>
        <sz val="5"/>
        <color theme="1"/>
        <rFont val="Calibri"/>
        <family val="2"/>
        <charset val="204"/>
        <scheme val="minor"/>
      </rPr>
      <t>Пенсійний фонд</t>
    </r>
  </si>
  <si>
    <r>
      <t xml:space="preserve">Обчислити </t>
    </r>
    <r>
      <rPr>
        <b/>
        <sz val="5"/>
        <color theme="1"/>
        <rFont val="Calibri"/>
        <family val="2"/>
        <charset val="204"/>
        <scheme val="minor"/>
      </rPr>
      <t xml:space="preserve">Військовий збір </t>
    </r>
  </si>
  <si>
    <t>Тетерев Олег Орестович</t>
  </si>
  <si>
    <t>Гулюк Ольга Іванівна</t>
  </si>
  <si>
    <t>Богун Руслана Романівна</t>
  </si>
  <si>
    <t>Гецький Микола Петрович</t>
  </si>
  <si>
    <t>Маснюк Павло Дмитрович</t>
  </si>
  <si>
    <t>для чоловіків:</t>
  </si>
  <si>
    <t>для жінок</t>
  </si>
  <si>
    <t>ввести кількість відпрацьованих днів в поточному місяці</t>
  </si>
  <si>
    <t>Військовий збір</t>
  </si>
  <si>
    <t>Обчислити на руки в грн та в доларах</t>
  </si>
  <si>
    <t>Зберегти файл з підтримкою макросів , налаштувати безпеку макросів</t>
  </si>
  <si>
    <r>
      <t xml:space="preserve">якщо працівник відпрацював менше 3 місяців </t>
    </r>
    <r>
      <rPr>
        <b/>
        <sz val="5"/>
        <color theme="1"/>
        <rFont val="Calibri"/>
        <family val="2"/>
        <charset val="204"/>
        <scheme val="minor"/>
      </rPr>
      <t>Премія</t>
    </r>
    <r>
      <rPr>
        <sz val="5"/>
        <color theme="1"/>
        <rFont val="Calibri"/>
        <family val="2"/>
        <charset val="204"/>
        <scheme val="minor"/>
      </rPr>
      <t xml:space="preserve"> = 5% від нарахованого</t>
    </r>
  </si>
  <si>
    <r>
      <t xml:space="preserve">якщо працівник відпрацював від 3 до 6 місяців </t>
    </r>
    <r>
      <rPr>
        <b/>
        <sz val="5"/>
        <color theme="1"/>
        <rFont val="Calibri"/>
        <family val="2"/>
        <charset val="204"/>
        <scheme val="minor"/>
      </rPr>
      <t>Премія</t>
    </r>
    <r>
      <rPr>
        <sz val="5"/>
        <color theme="1"/>
        <rFont val="Calibri"/>
        <family val="2"/>
        <charset val="204"/>
        <scheme val="minor"/>
      </rPr>
      <t xml:space="preserve"> = 10% від нарахованого</t>
    </r>
  </si>
  <si>
    <r>
      <t xml:space="preserve">якщо працівник відпрацював від 6 до 12 місяців </t>
    </r>
    <r>
      <rPr>
        <b/>
        <sz val="5"/>
        <color theme="1"/>
        <rFont val="Calibri"/>
        <family val="2"/>
        <charset val="204"/>
        <scheme val="minor"/>
      </rPr>
      <t>Премія</t>
    </r>
    <r>
      <rPr>
        <sz val="5"/>
        <color theme="1"/>
        <rFont val="Calibri"/>
        <family val="2"/>
        <charset val="204"/>
        <scheme val="minor"/>
      </rPr>
      <t xml:space="preserve"> = 20% від нарахованого</t>
    </r>
  </si>
  <si>
    <r>
      <t xml:space="preserve">якщо працівник відпрацював від 12 до 18 місяців </t>
    </r>
    <r>
      <rPr>
        <b/>
        <sz val="5"/>
        <color theme="1"/>
        <rFont val="Calibri"/>
        <family val="2"/>
        <charset val="204"/>
        <scheme val="minor"/>
      </rPr>
      <t>Премія</t>
    </r>
    <r>
      <rPr>
        <sz val="5"/>
        <color theme="1"/>
        <rFont val="Calibri"/>
        <family val="2"/>
        <charset val="204"/>
        <scheme val="minor"/>
      </rPr>
      <t xml:space="preserve"> = 30% від нарахованого</t>
    </r>
  </si>
  <si>
    <r>
      <t xml:space="preserve">якщо працівник відпрацював більше 18 місяців </t>
    </r>
    <r>
      <rPr>
        <b/>
        <sz val="5"/>
        <color theme="1"/>
        <rFont val="Calibri"/>
        <family val="2"/>
        <charset val="204"/>
        <scheme val="minor"/>
      </rPr>
      <t>Премія</t>
    </r>
    <r>
      <rPr>
        <sz val="5"/>
        <color theme="1"/>
        <rFont val="Calibri"/>
        <family val="2"/>
        <charset val="204"/>
        <scheme val="minor"/>
      </rPr>
      <t xml:space="preserve"> = 40% від нарахованого</t>
    </r>
  </si>
  <si>
    <t>якщо нараховано до 15 000 грн Пенсійний фонд - 1% від нарахованого</t>
  </si>
  <si>
    <t>якщо нараховано більше 15 000 грн Пенсійний фонд - 2% від нарахованого</t>
  </si>
  <si>
    <t>якщо нараховано до 8 500 грн Військовий збір - 1% від нарахованого</t>
  </si>
  <si>
    <t>якщо нараховано від 8 500 грн  до 17 000 грн Військовий збір - 2% від нарахованого</t>
  </si>
  <si>
    <t>якщо нараховано від 17 000 грн  Військовий збір - 3% від нарахованого</t>
  </si>
  <si>
    <t>якщо нараховано від 8 500 грн  до 17 000 грн Військовий збір - 1% від нарахованого</t>
  </si>
  <si>
    <t>якщо нараховано від 17 000 грн  Військовий збір - 2% від нарахованого</t>
  </si>
  <si>
    <t>Відпрацьовано днів в поточному місяці</t>
  </si>
  <si>
    <t>К-сть повних місяців, відпрацював на даному місці</t>
  </si>
  <si>
    <t>Нараховано за місяць, грн</t>
  </si>
  <si>
    <t>Лікарняні</t>
  </si>
  <si>
    <t>Днів лікарняних</t>
  </si>
  <si>
    <t xml:space="preserve">стаж </t>
  </si>
  <si>
    <t>Куц Лідія Трофимівна</t>
  </si>
  <si>
    <r>
      <t xml:space="preserve">Обчислити </t>
    </r>
    <r>
      <rPr>
        <b/>
        <sz val="5"/>
        <color theme="1"/>
        <rFont val="Calibri"/>
        <family val="2"/>
        <charset val="204"/>
        <scheme val="minor"/>
      </rPr>
      <t>Лікарняні</t>
    </r>
  </si>
  <si>
    <r>
      <t xml:space="preserve">якщо </t>
    </r>
    <r>
      <rPr>
        <b/>
        <sz val="5"/>
        <color theme="1"/>
        <rFont val="Calibri"/>
        <family val="2"/>
        <charset val="204"/>
        <scheme val="minor"/>
      </rPr>
      <t>ЗАГАЛЬНИЙ СТАЖ</t>
    </r>
    <r>
      <rPr>
        <sz val="5"/>
        <color theme="1"/>
        <rFont val="Calibri"/>
        <family val="2"/>
        <charset val="204"/>
        <scheme val="minor"/>
      </rPr>
      <t xml:space="preserve"> від 3 років до 5 - 50% від нарахованого</t>
    </r>
  </si>
  <si>
    <r>
      <t xml:space="preserve">якщо </t>
    </r>
    <r>
      <rPr>
        <b/>
        <sz val="5"/>
        <color theme="1"/>
        <rFont val="Calibri"/>
        <family val="2"/>
        <charset val="204"/>
        <scheme val="minor"/>
      </rPr>
      <t>ЗАГАЛЬНИЙ СТАЖ</t>
    </r>
    <r>
      <rPr>
        <sz val="5"/>
        <color theme="1"/>
        <rFont val="Calibri"/>
        <family val="2"/>
        <charset val="204"/>
        <scheme val="minor"/>
      </rPr>
      <t xml:space="preserve"> від 5 років до 10 - 75% від нарахованого</t>
    </r>
  </si>
  <si>
    <r>
      <t xml:space="preserve">якщо </t>
    </r>
    <r>
      <rPr>
        <b/>
        <sz val="5"/>
        <color theme="1"/>
        <rFont val="Calibri"/>
        <family val="2"/>
        <charset val="204"/>
        <scheme val="minor"/>
      </rPr>
      <t>ЗАГАЛЬНИЙ СТАЖ</t>
    </r>
    <r>
      <rPr>
        <sz val="5"/>
        <color theme="1"/>
        <rFont val="Calibri"/>
        <family val="2"/>
        <charset val="204"/>
        <scheme val="minor"/>
      </rPr>
      <t xml:space="preserve"> більше 10 - 100 % від нарахованого</t>
    </r>
  </si>
  <si>
    <r>
      <t xml:space="preserve">якщо </t>
    </r>
    <r>
      <rPr>
        <b/>
        <sz val="5"/>
        <color theme="1"/>
        <rFont val="Calibri"/>
        <family val="2"/>
        <charset val="204"/>
        <scheme val="minor"/>
      </rPr>
      <t>ЗАГАЛЬНИЙ СТАЖ</t>
    </r>
    <r>
      <rPr>
        <sz val="5"/>
        <color theme="1"/>
        <rFont val="Calibri"/>
        <family val="2"/>
        <charset val="204"/>
        <scheme val="minor"/>
      </rPr>
      <t xml:space="preserve"> меньше 3 років - 30% від нарахованого </t>
    </r>
  </si>
  <si>
    <t>жінка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</si>
</sst>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&quot; &quot;mmm&quot; &quot;yy"/>
    <numFmt numFmtId="165" formatCode="#,##0.00&quot; грн.&quot;"/>
    <numFmt numFmtId="166" formatCode="#,##0.00\ [$$-C0C]"/>
  </numFmts>
  <fonts count="4" x14ac:knownFonts="1">
    <font>
      <sz val="11"/>
      <color theme="1"/>
      <name val="Calibri"/>
      <family val="2"/>
      <charset val="204"/>
      <scheme val="minor"/>
    </font>
    <font>
      <sz val="5"/>
      <color theme="1"/>
      <name val="Calibri"/>
      <family val="2"/>
      <charset val="204"/>
      <scheme val="minor"/>
    </font>
    <font>
      <b/>
      <sz val="5"/>
      <color theme="1"/>
      <name val="Calibri"/>
      <family val="2"/>
      <charset val="204"/>
      <scheme val="minor"/>
    </font>
    <font>
      <b/>
      <sz val="5"/>
      <color rgb="FFFF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1" xfId="0" applyFont="1" applyBorder="1"/>
    <xf numFmtId="0" fontId="1" fillId="0" borderId="0" xfId="0" applyFont="1"/>
    <xf numFmtId="14" fontId="1" fillId="0" borderId="1" xfId="0" applyNumberFormat="1" applyFont="1" applyBorder="1" applyProtection="1">
      <protection locked="0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/>
    <xf numFmtId="0" fontId="1" fillId="0" borderId="2" xfId="0" applyFont="1" applyBorder="1" applyProtection="1">
      <protection locked="0"/>
    </xf>
    <xf numFmtId="164" fontId="1" fillId="0" borderId="2" xfId="0" applyNumberFormat="1" applyFont="1" applyBorder="1"/>
    <xf numFmtId="0" fontId="1" fillId="0" borderId="2" xfId="0" applyFont="1" applyBorder="1" applyAlignment="1">
      <alignment horizontal="center" vertical="center"/>
    </xf>
    <xf numFmtId="165" fontId="1" fillId="0" borderId="2" xfId="0" applyNumberFormat="1" applyFont="1" applyBorder="1"/>
    <xf numFmtId="166" fontId="1" fillId="0" borderId="2" xfId="0" applyNumberFormat="1" applyFont="1" applyBorder="1"/>
    <xf numFmtId="0" fontId="1" fillId="0" borderId="6" xfId="0" applyFont="1" applyBorder="1" applyProtection="1">
      <protection locked="0"/>
    </xf>
    <xf numFmtId="164" fontId="1" fillId="0" borderId="6" xfId="0" applyNumberFormat="1" applyFont="1" applyBorder="1"/>
    <xf numFmtId="0" fontId="1" fillId="0" borderId="6" xfId="0" applyFont="1" applyBorder="1" applyAlignment="1">
      <alignment horizontal="center" vertical="center"/>
    </xf>
    <xf numFmtId="0" fontId="1" fillId="0" borderId="13" xfId="0" applyFont="1" applyBorder="1"/>
    <xf numFmtId="0" fontId="1" fillId="0" borderId="12" xfId="0" applyFont="1" applyBorder="1"/>
    <xf numFmtId="0" fontId="1" fillId="0" borderId="11" xfId="0" applyFont="1" applyBorder="1"/>
    <xf numFmtId="165" fontId="1" fillId="0" borderId="5" xfId="0" applyNumberFormat="1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4" xfId="0" applyFont="1" applyBorder="1"/>
    <xf numFmtId="0" fontId="1" fillId="0" borderId="1" xfId="0" applyFont="1" applyBorder="1" applyAlignment="1" applyProtection="1">
      <alignment horizontal="center"/>
      <protection locked="0"/>
    </xf>
    <xf numFmtId="1" fontId="1" fillId="0" borderId="2" xfId="0" applyNumberFormat="1" applyFont="1" applyBorder="1" applyAlignment="1">
      <alignment horizontal="center"/>
    </xf>
    <xf numFmtId="1" fontId="1" fillId="0" borderId="6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/>
    <xf numFmtId="0" fontId="1" fillId="0" borderId="0" xfId="0" applyFont="1" applyBorder="1"/>
    <xf numFmtId="0" fontId="3" fillId="0" borderId="0" xfId="0" applyFont="1"/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9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F0911-69B1-4366-A76A-3F50F6FA819D}">
  <sheetPr codeName="Лист1"/>
  <dimension ref="A1:S51"/>
  <sheetViews>
    <sheetView tabSelected="1" topLeftCell="B1" zoomScale="180" zoomScaleNormal="160" workbookViewId="0">
      <selection activeCell="S9" sqref="S9"/>
    </sheetView>
  </sheetViews>
  <sheetFormatPr defaultColWidth="9.08984375" defaultRowHeight="7" x14ac:dyDescent="0.2"/>
  <cols>
    <col min="1" max="1" width="1.453125" style="2" customWidth="1"/>
    <col min="2" max="2" width="10.1796875" style="2" bestFit="1" customWidth="1"/>
    <col min="3" max="3" width="5.81640625" style="2" customWidth="1"/>
    <col min="4" max="4" width="4.08984375" style="2" customWidth="1"/>
    <col min="5" max="5" width="5.90625" style="2" customWidth="1"/>
    <col min="6" max="7" width="5.54296875" style="2" customWidth="1"/>
    <col min="8" max="9" width="4.1796875" style="2" customWidth="1"/>
    <col min="10" max="10" width="6" style="2" customWidth="1"/>
    <col min="11" max="11" width="7.08984375" style="2" customWidth="1"/>
    <col min="12" max="12" width="6.26953125" style="2" customWidth="1"/>
    <col min="13" max="13" width="6.6328125" style="2" customWidth="1"/>
    <col min="14" max="14" width="6.36328125" style="2" customWidth="1"/>
    <col min="15" max="15" width="8.6328125" style="2" customWidth="1"/>
    <col min="16" max="16" width="5.7265625" style="2" customWidth="1"/>
    <col min="17" max="17" width="9" style="2" customWidth="1"/>
    <col min="18" max="18" width="6.6328125" style="2" customWidth="1"/>
    <col min="19" max="16384" width="9.08984375" style="2"/>
  </cols>
  <sheetData>
    <row r="1" spans="1:19" x14ac:dyDescent="0.2">
      <c r="A1" s="30" t="s">
        <v>0</v>
      </c>
      <c r="B1" s="31"/>
      <c r="C1" s="23">
        <v>37.89</v>
      </c>
      <c r="D1" s="2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8"/>
    </row>
    <row r="2" spans="1:19" x14ac:dyDescent="0.2">
      <c r="A2" s="32" t="s">
        <v>1</v>
      </c>
      <c r="B2" s="33"/>
      <c r="C2" s="3">
        <f ca="1">TODAY()</f>
        <v>45243</v>
      </c>
      <c r="D2" s="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28"/>
    </row>
    <row r="4" spans="1:19" ht="7.5" thickBot="1" x14ac:dyDescent="0.25">
      <c r="A4" s="34" t="s">
        <v>2</v>
      </c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</row>
    <row r="5" spans="1:19" ht="48" customHeight="1" thickBot="1" x14ac:dyDescent="0.25">
      <c r="A5" s="4" t="s">
        <v>3</v>
      </c>
      <c r="B5" s="4" t="s">
        <v>4</v>
      </c>
      <c r="C5" s="4" t="s">
        <v>5</v>
      </c>
      <c r="D5" s="4" t="s">
        <v>58</v>
      </c>
      <c r="E5" s="4" t="s">
        <v>6</v>
      </c>
      <c r="F5" s="4" t="s">
        <v>53</v>
      </c>
      <c r="G5" s="4" t="s">
        <v>57</v>
      </c>
      <c r="H5" s="4" t="s">
        <v>7</v>
      </c>
      <c r="I5" s="4" t="s">
        <v>8</v>
      </c>
      <c r="J5" s="4" t="s">
        <v>54</v>
      </c>
      <c r="K5" s="4" t="s">
        <v>55</v>
      </c>
      <c r="L5" s="4" t="s">
        <v>9</v>
      </c>
      <c r="M5" s="4" t="s">
        <v>56</v>
      </c>
      <c r="N5" s="4" t="s">
        <v>10</v>
      </c>
      <c r="O5" s="4" t="s">
        <v>11</v>
      </c>
      <c r="P5" s="4" t="s">
        <v>38</v>
      </c>
      <c r="Q5" s="4" t="s">
        <v>12</v>
      </c>
      <c r="R5" s="4" t="s">
        <v>13</v>
      </c>
      <c r="S5" s="2" t="s">
        <v>65</v>
      </c>
    </row>
    <row r="6" spans="1:19" ht="7.5" thickBot="1" x14ac:dyDescent="0.25">
      <c r="A6" s="5">
        <v>1</v>
      </c>
      <c r="B6" s="5" t="s">
        <v>30</v>
      </c>
      <c r="C6" s="6">
        <v>654</v>
      </c>
      <c r="D6" s="6">
        <v>4</v>
      </c>
      <c r="E6" s="7">
        <v>44900</v>
      </c>
      <c r="F6" s="24">
        <v>3</v>
      </c>
      <c r="G6" s="24">
        <v>2</v>
      </c>
      <c r="H6" s="8">
        <v>0</v>
      </c>
      <c r="I6" s="8">
        <v>0</v>
      </c>
      <c r="J6" s="26">
        <f ca="1">DATEDIF(E6,$C$2,"m")</f>
        <v>11</v>
      </c>
      <c r="K6" s="9" cm="1">
        <f t="array" ref="K6">Нараховано(F6,C6)</f>
        <v>1962</v>
      </c>
      <c r="L6" s="9" cm="1">
        <f t="array" aca="1" ref="L6" ca="1">Премія(I6,H6,K6,J6)</f>
        <v>392.40000000000003</v>
      </c>
      <c r="M6" s="9" cm="1">
        <f t="array" ref="M6">Лікарняні(D6,K6)</f>
        <v>981</v>
      </c>
      <c r="N6" s="9" cm="1">
        <f t="array" ref="N6">Податок(K6)</f>
        <v>26.200000000000003</v>
      </c>
      <c r="O6" s="9" cm="1">
        <f t="array" ref="O6">Фонд(K6)</f>
        <v>19.62</v>
      </c>
      <c r="P6" s="9" cm="1">
        <f t="array" ref="P6">Збір(K6,S6)</f>
        <v>19.62</v>
      </c>
      <c r="Q6" s="9">
        <f ca="1">K6+L6+M6-N6-O6-P6</f>
        <v>3269.9600000000005</v>
      </c>
      <c r="R6" s="10">
        <f ca="1">Q6/$C$1</f>
        <v>86.301398785959364</v>
      </c>
      <c r="S6" s="2">
        <f>IF(RIGHT(B6,1) = "ч",0,1)</f>
        <v>0</v>
      </c>
    </row>
    <row r="7" spans="1:19" ht="7.5" thickBot="1" x14ac:dyDescent="0.25">
      <c r="A7" s="5">
        <v>2</v>
      </c>
      <c r="B7" s="5" t="s">
        <v>31</v>
      </c>
      <c r="C7" s="6">
        <v>456</v>
      </c>
      <c r="D7" s="6">
        <v>12</v>
      </c>
      <c r="E7" s="7">
        <v>44958</v>
      </c>
      <c r="F7" s="24">
        <v>27</v>
      </c>
      <c r="G7" s="24">
        <v>2</v>
      </c>
      <c r="H7" s="8">
        <v>1</v>
      </c>
      <c r="I7" s="8">
        <v>0</v>
      </c>
      <c r="J7" s="26">
        <f t="shared" ref="J7:J11" ca="1" si="0">DATEDIF(E7,$C$2,"m")</f>
        <v>9</v>
      </c>
      <c r="K7" s="9" cm="1">
        <f t="array" ref="K7">Нараховано(F7,C7)</f>
        <v>12312</v>
      </c>
      <c r="L7" s="9" cm="1">
        <f t="array" ref="L7">Премія(I7,H7,K7,J7)</f>
        <v>0</v>
      </c>
      <c r="M7" s="9" cm="1">
        <f t="array" ref="M7">Лікарняні(D7,K7)</f>
        <v>12312</v>
      </c>
      <c r="N7" s="9" cm="1">
        <f t="array" ref="N7">Податок(K7)</f>
        <v>1251.8</v>
      </c>
      <c r="O7" s="9" cm="1">
        <f t="array" ref="O7">Фонд(K7)</f>
        <v>123.12</v>
      </c>
      <c r="P7" s="9" cm="1">
        <f t="array" ref="P7">Збір(K7,S7)</f>
        <v>123.12</v>
      </c>
      <c r="Q7" s="9">
        <f t="shared" ref="Q7:Q11" si="1">K7+L7+M7-N7-O7-P7</f>
        <v>23125.960000000003</v>
      </c>
      <c r="R7" s="10">
        <f t="shared" ref="R7:R11" si="2">Q7/$C$1</f>
        <v>610.34468197413571</v>
      </c>
      <c r="S7" s="2">
        <f t="shared" ref="S7:S11" si="3">IF(RIGHT(B7,1) = "ч",0,1)</f>
        <v>1</v>
      </c>
    </row>
    <row r="8" spans="1:19" ht="7.5" thickBot="1" x14ac:dyDescent="0.25">
      <c r="A8" s="5">
        <v>3</v>
      </c>
      <c r="B8" s="5" t="s">
        <v>32</v>
      </c>
      <c r="C8" s="6">
        <v>700</v>
      </c>
      <c r="D8" s="6">
        <v>1</v>
      </c>
      <c r="E8" s="7">
        <v>45060</v>
      </c>
      <c r="F8" s="24">
        <v>14</v>
      </c>
      <c r="G8" s="24">
        <v>2</v>
      </c>
      <c r="H8" s="8">
        <v>1</v>
      </c>
      <c r="I8" s="8">
        <v>0</v>
      </c>
      <c r="J8" s="26">
        <f t="shared" ca="1" si="0"/>
        <v>5</v>
      </c>
      <c r="K8" s="9" cm="1">
        <f t="array" ref="K8">Нараховано(F8,C8)</f>
        <v>9800</v>
      </c>
      <c r="L8" s="9" cm="1">
        <f t="array" ref="L8">Премія(I8,H8,K8,J8)</f>
        <v>0</v>
      </c>
      <c r="M8" s="9" cm="1">
        <f t="array" ref="M8">Лікарняні(D8,K8)</f>
        <v>2940</v>
      </c>
      <c r="N8" s="9" cm="1">
        <f t="array" ref="N8">Податок(K8)</f>
        <v>875</v>
      </c>
      <c r="O8" s="9" cm="1">
        <f t="array" ref="O8">Фонд(K8)</f>
        <v>98</v>
      </c>
      <c r="P8" s="9" cm="1">
        <f t="array" ref="P8">Збір(K8,S8)</f>
        <v>98</v>
      </c>
      <c r="Q8" s="9">
        <f t="shared" si="1"/>
        <v>11669</v>
      </c>
      <c r="R8" s="10">
        <f t="shared" si="2"/>
        <v>307.97044074953811</v>
      </c>
      <c r="S8" s="2">
        <f t="shared" si="3"/>
        <v>1</v>
      </c>
    </row>
    <row r="9" spans="1:19" ht="7.5" thickBot="1" x14ac:dyDescent="0.25">
      <c r="A9" s="5">
        <v>4</v>
      </c>
      <c r="B9" s="5" t="s">
        <v>33</v>
      </c>
      <c r="C9" s="6">
        <v>500</v>
      </c>
      <c r="D9" s="6">
        <v>7</v>
      </c>
      <c r="E9" s="7">
        <v>45210</v>
      </c>
      <c r="F9" s="24">
        <v>23</v>
      </c>
      <c r="G9" s="24">
        <v>7</v>
      </c>
      <c r="H9" s="8">
        <v>0</v>
      </c>
      <c r="I9" s="8">
        <v>1</v>
      </c>
      <c r="J9" s="26">
        <f t="shared" ca="1" si="0"/>
        <v>1</v>
      </c>
      <c r="K9" s="9" cm="1">
        <f t="array" ref="K9">Нараховано(F9,C9)</f>
        <v>11500</v>
      </c>
      <c r="L9" s="9" cm="1">
        <f t="array" ref="L9">Премія(I9,H9,K9,J9)</f>
        <v>0</v>
      </c>
      <c r="M9" s="9" cm="1">
        <f t="array" ref="M9">Лікарняні(D9,K9)</f>
        <v>8625</v>
      </c>
      <c r="N9" s="9" cm="1">
        <f t="array" ref="N9">Податок(K9)</f>
        <v>1130</v>
      </c>
      <c r="O9" s="9" cm="1">
        <f t="array" ref="O9">Фонд(K9)</f>
        <v>115</v>
      </c>
      <c r="P9" s="9" cm="1">
        <f t="array" ref="P9">Збір(K9,S9)</f>
        <v>230</v>
      </c>
      <c r="Q9" s="9">
        <f t="shared" si="1"/>
        <v>18650</v>
      </c>
      <c r="R9" s="10">
        <f t="shared" si="2"/>
        <v>492.21430456584852</v>
      </c>
      <c r="S9" s="2">
        <f t="shared" si="3"/>
        <v>0</v>
      </c>
    </row>
    <row r="10" spans="1:19" ht="7.5" thickBot="1" x14ac:dyDescent="0.25">
      <c r="A10" s="5">
        <v>5</v>
      </c>
      <c r="B10" s="5" t="s">
        <v>59</v>
      </c>
      <c r="C10" s="11">
        <v>398</v>
      </c>
      <c r="D10" s="11">
        <v>17</v>
      </c>
      <c r="E10" s="12">
        <v>44444</v>
      </c>
      <c r="F10" s="25">
        <v>30</v>
      </c>
      <c r="G10" s="25">
        <v>1</v>
      </c>
      <c r="H10" s="13">
        <v>0</v>
      </c>
      <c r="I10" s="13">
        <v>0</v>
      </c>
      <c r="J10" s="26">
        <f t="shared" ca="1" si="0"/>
        <v>26</v>
      </c>
      <c r="K10" s="9" cm="1">
        <f t="array" ref="K10">Нараховано(F10,C10)</f>
        <v>11940</v>
      </c>
      <c r="L10" s="9" cm="1">
        <f t="array" aca="1" ref="L10" ca="1">Премія(I10,H10,K10,J10)</f>
        <v>4776</v>
      </c>
      <c r="M10" s="9" cm="1">
        <f t="array" ref="M10">Лікарняні(D10,K10)</f>
        <v>11940</v>
      </c>
      <c r="N10" s="9" cm="1">
        <f t="array" ref="N10">Податок(K10)</f>
        <v>1196</v>
      </c>
      <c r="O10" s="9" cm="1">
        <f t="array" ref="O10">Фонд(K10)</f>
        <v>119.4</v>
      </c>
      <c r="P10" s="9" cm="1">
        <f t="array" ref="P10">Збір(K10,S10)</f>
        <v>119.4</v>
      </c>
      <c r="Q10" s="9">
        <f t="shared" ca="1" si="1"/>
        <v>27221.199999999997</v>
      </c>
      <c r="R10" s="10">
        <f t="shared" ca="1" si="2"/>
        <v>718.42702560042221</v>
      </c>
      <c r="S10" s="2">
        <f t="shared" si="3"/>
        <v>1</v>
      </c>
    </row>
    <row r="11" spans="1:19" ht="7.5" thickBot="1" x14ac:dyDescent="0.25">
      <c r="A11" s="5">
        <v>5</v>
      </c>
      <c r="B11" s="5" t="s">
        <v>34</v>
      </c>
      <c r="C11" s="11">
        <v>400</v>
      </c>
      <c r="D11" s="11">
        <v>22</v>
      </c>
      <c r="E11" s="12">
        <v>44672</v>
      </c>
      <c r="F11" s="25">
        <v>31</v>
      </c>
      <c r="G11" s="25">
        <v>0</v>
      </c>
      <c r="H11" s="13">
        <v>0</v>
      </c>
      <c r="I11" s="13">
        <v>0</v>
      </c>
      <c r="J11" s="26">
        <f t="shared" ca="1" si="0"/>
        <v>18</v>
      </c>
      <c r="K11" s="9" cm="1">
        <f t="array" ref="K11">Нараховано(F11,C11)</f>
        <v>12400</v>
      </c>
      <c r="L11" s="9" cm="1">
        <f t="array" aca="1" ref="L11" ca="1">Премія(I11,H11,K11,J11)</f>
        <v>3720</v>
      </c>
      <c r="M11" s="9" cm="1">
        <f t="array" ref="M11">Лікарняні(D11,K11)</f>
        <v>12400</v>
      </c>
      <c r="N11" s="9" cm="1">
        <f t="array" ref="N11">Податок(K11)</f>
        <v>1265</v>
      </c>
      <c r="O11" s="9" cm="1">
        <f t="array" ref="O11">Фонд(K11)</f>
        <v>124</v>
      </c>
      <c r="P11" s="9" cm="1">
        <f t="array" ref="P11">Збір(K11,S11)</f>
        <v>248</v>
      </c>
      <c r="Q11" s="9">
        <f t="shared" ca="1" si="1"/>
        <v>26883</v>
      </c>
      <c r="R11" s="10">
        <f t="shared" ca="1" si="2"/>
        <v>709.50118764845604</v>
      </c>
      <c r="S11" s="2">
        <f t="shared" si="3"/>
        <v>0</v>
      </c>
    </row>
    <row r="12" spans="1:19" ht="7.5" thickBot="1" x14ac:dyDescent="0.25">
      <c r="A12" s="5"/>
      <c r="B12" s="14" t="s">
        <v>14</v>
      </c>
      <c r="C12" s="15"/>
      <c r="D12" s="15"/>
      <c r="E12" s="15"/>
      <c r="F12" s="15"/>
      <c r="G12" s="15"/>
      <c r="H12" s="15"/>
      <c r="I12" s="15"/>
      <c r="J12" s="16"/>
      <c r="K12" s="17">
        <f>SUM(K6:K11)</f>
        <v>59914</v>
      </c>
      <c r="L12" s="17">
        <f t="shared" ref="L12:R12" ca="1" si="4">SUM(L6:L11)</f>
        <v>8888.4</v>
      </c>
      <c r="M12" s="17">
        <f t="shared" si="4"/>
        <v>49198</v>
      </c>
      <c r="N12" s="17">
        <f t="shared" si="4"/>
        <v>5744</v>
      </c>
      <c r="O12" s="17">
        <f t="shared" si="4"/>
        <v>599.14</v>
      </c>
      <c r="P12" s="17">
        <f t="shared" si="4"/>
        <v>838.14</v>
      </c>
      <c r="Q12" s="17">
        <f t="shared" ca="1" si="4"/>
        <v>110819.12</v>
      </c>
      <c r="R12" s="17">
        <f t="shared" ca="1" si="4"/>
        <v>2924.7590393243599</v>
      </c>
    </row>
    <row r="13" spans="1:19" ht="7.5" thickBot="1" x14ac:dyDescent="0.25">
      <c r="A13" s="5"/>
      <c r="B13" s="18" t="s">
        <v>15</v>
      </c>
      <c r="C13" s="19"/>
      <c r="D13" s="20"/>
      <c r="E13" s="20"/>
      <c r="F13" s="20"/>
      <c r="G13" s="20"/>
      <c r="H13" s="20"/>
      <c r="I13" s="20"/>
      <c r="J13" s="21"/>
      <c r="K13" s="9">
        <f>MAX(K6:K11)</f>
        <v>12400</v>
      </c>
      <c r="L13" s="9">
        <f t="shared" ref="L13:Q13" ca="1" si="5">MAX(L6:L11)</f>
        <v>4776</v>
      </c>
      <c r="M13" s="9">
        <f t="shared" si="5"/>
        <v>12400</v>
      </c>
      <c r="N13" s="9">
        <f t="shared" si="5"/>
        <v>1265</v>
      </c>
      <c r="O13" s="9">
        <f t="shared" si="5"/>
        <v>124</v>
      </c>
      <c r="P13" s="9">
        <f t="shared" si="5"/>
        <v>248</v>
      </c>
      <c r="Q13" s="9">
        <f t="shared" ca="1" si="5"/>
        <v>27221.199999999997</v>
      </c>
      <c r="R13" s="9">
        <f ca="1">MAX(R6:R11)</f>
        <v>718.42702560042221</v>
      </c>
    </row>
    <row r="14" spans="1:19" x14ac:dyDescent="0.2"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</row>
    <row r="15" spans="1:19" x14ac:dyDescent="0.2"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</row>
    <row r="16" spans="1:19" x14ac:dyDescent="0.2">
      <c r="E16" s="29" t="s">
        <v>40</v>
      </c>
    </row>
    <row r="17" spans="4:5" x14ac:dyDescent="0.2">
      <c r="D17" s="2">
        <v>0</v>
      </c>
      <c r="E17" s="2" t="s">
        <v>37</v>
      </c>
    </row>
    <row r="18" spans="4:5" x14ac:dyDescent="0.2">
      <c r="D18" s="2">
        <v>1</v>
      </c>
      <c r="E18" s="2" t="s">
        <v>17</v>
      </c>
    </row>
    <row r="19" spans="4:5" x14ac:dyDescent="0.2">
      <c r="D19" s="2">
        <v>2</v>
      </c>
      <c r="E19" s="2" t="s">
        <v>16</v>
      </c>
    </row>
    <row r="20" spans="4:5" x14ac:dyDescent="0.2">
      <c r="D20" s="2">
        <v>3</v>
      </c>
      <c r="E20" s="2" t="s">
        <v>18</v>
      </c>
    </row>
    <row r="21" spans="4:5" x14ac:dyDescent="0.2">
      <c r="D21" s="2">
        <v>4</v>
      </c>
      <c r="E21" s="2" t="s">
        <v>19</v>
      </c>
    </row>
    <row r="22" spans="4:5" x14ac:dyDescent="0.2">
      <c r="E22" s="2" t="s">
        <v>20</v>
      </c>
    </row>
    <row r="23" spans="4:5" x14ac:dyDescent="0.2">
      <c r="E23" s="2" t="s">
        <v>41</v>
      </c>
    </row>
    <row r="24" spans="4:5" x14ac:dyDescent="0.2">
      <c r="E24" s="2" t="s">
        <v>42</v>
      </c>
    </row>
    <row r="25" spans="4:5" x14ac:dyDescent="0.2">
      <c r="E25" s="2" t="s">
        <v>43</v>
      </c>
    </row>
    <row r="26" spans="4:5" x14ac:dyDescent="0.2">
      <c r="E26" s="2" t="s">
        <v>44</v>
      </c>
    </row>
    <row r="27" spans="4:5" x14ac:dyDescent="0.2">
      <c r="E27" s="2" t="s">
        <v>45</v>
      </c>
    </row>
    <row r="28" spans="4:5" x14ac:dyDescent="0.2">
      <c r="D28" s="2">
        <v>5</v>
      </c>
      <c r="E28" s="2" t="s">
        <v>60</v>
      </c>
    </row>
    <row r="29" spans="4:5" x14ac:dyDescent="0.2">
      <c r="E29" s="2" t="s">
        <v>64</v>
      </c>
    </row>
    <row r="30" spans="4:5" x14ac:dyDescent="0.2">
      <c r="E30" s="2" t="s">
        <v>61</v>
      </c>
    </row>
    <row r="31" spans="4:5" x14ac:dyDescent="0.2">
      <c r="E31" s="2" t="s">
        <v>62</v>
      </c>
    </row>
    <row r="32" spans="4:5" x14ac:dyDescent="0.2">
      <c r="E32" s="2" t="s">
        <v>63</v>
      </c>
    </row>
    <row r="33" spans="4:5" x14ac:dyDescent="0.2">
      <c r="D33" s="2">
        <v>6</v>
      </c>
      <c r="E33" s="2" t="s">
        <v>27</v>
      </c>
    </row>
    <row r="34" spans="4:5" x14ac:dyDescent="0.2">
      <c r="E34" s="2" t="s">
        <v>21</v>
      </c>
    </row>
    <row r="35" spans="4:5" x14ac:dyDescent="0.2">
      <c r="E35" s="2" t="s">
        <v>22</v>
      </c>
    </row>
    <row r="36" spans="4:5" x14ac:dyDescent="0.2">
      <c r="E36" s="2" t="s">
        <v>23</v>
      </c>
    </row>
    <row r="37" spans="4:5" x14ac:dyDescent="0.2">
      <c r="E37" s="2" t="s">
        <v>24</v>
      </c>
    </row>
    <row r="38" spans="4:5" x14ac:dyDescent="0.2">
      <c r="E38" s="2" t="s">
        <v>25</v>
      </c>
    </row>
    <row r="39" spans="4:5" x14ac:dyDescent="0.2">
      <c r="E39" s="2" t="s">
        <v>26</v>
      </c>
    </row>
    <row r="40" spans="4:5" x14ac:dyDescent="0.2">
      <c r="D40" s="2">
        <v>7</v>
      </c>
      <c r="E40" s="2" t="s">
        <v>28</v>
      </c>
    </row>
    <row r="41" spans="4:5" x14ac:dyDescent="0.2">
      <c r="E41" s="2" t="s">
        <v>46</v>
      </c>
    </row>
    <row r="42" spans="4:5" x14ac:dyDescent="0.2">
      <c r="E42" s="2" t="s">
        <v>47</v>
      </c>
    </row>
    <row r="43" spans="4:5" x14ac:dyDescent="0.2">
      <c r="D43" s="2">
        <v>8</v>
      </c>
      <c r="E43" s="2" t="s">
        <v>29</v>
      </c>
    </row>
    <row r="44" spans="4:5" x14ac:dyDescent="0.2">
      <c r="E44" s="27" t="s">
        <v>35</v>
      </c>
    </row>
    <row r="45" spans="4:5" x14ac:dyDescent="0.2">
      <c r="E45" s="2" t="s">
        <v>48</v>
      </c>
    </row>
    <row r="46" spans="4:5" x14ac:dyDescent="0.2">
      <c r="E46" s="2" t="s">
        <v>49</v>
      </c>
    </row>
    <row r="47" spans="4:5" x14ac:dyDescent="0.2">
      <c r="E47" s="2" t="s">
        <v>50</v>
      </c>
    </row>
    <row r="48" spans="4:5" x14ac:dyDescent="0.2">
      <c r="E48" s="27" t="s">
        <v>36</v>
      </c>
    </row>
    <row r="49" spans="4:5" x14ac:dyDescent="0.2">
      <c r="E49" s="2" t="s">
        <v>51</v>
      </c>
    </row>
    <row r="50" spans="4:5" x14ac:dyDescent="0.2">
      <c r="E50" s="2" t="s">
        <v>52</v>
      </c>
    </row>
    <row r="51" spans="4:5" x14ac:dyDescent="0.2">
      <c r="D51" s="2">
        <v>9</v>
      </c>
      <c r="E51" s="2" t="s">
        <v>39</v>
      </c>
    </row>
  </sheetData>
  <mergeCells count="3">
    <mergeCell ref="A1:B1"/>
    <mergeCell ref="A2:B2"/>
    <mergeCell ref="A4:R4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955A54DABDE3C479D19992335FCCDCE" ma:contentTypeVersion="4" ma:contentTypeDescription="Створення нового документа." ma:contentTypeScope="" ma:versionID="17f16b9049d248e34b52ec9a128713c4">
  <xsd:schema xmlns:xsd="http://www.w3.org/2001/XMLSchema" xmlns:xs="http://www.w3.org/2001/XMLSchema" xmlns:p="http://schemas.microsoft.com/office/2006/metadata/properties" xmlns:ns2="861d21cc-bac8-473a-9e11-bd4934e3cebb" targetNamespace="http://schemas.microsoft.com/office/2006/metadata/properties" ma:root="true" ma:fieldsID="6c6c2b16dc6d7c55727432f4101b6879" ns2:_="">
    <xsd:import namespace="861d21cc-bac8-473a-9e11-bd4934e3cebb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1d21cc-bac8-473a-9e11-bd4934e3cebb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вмісту"/>
        <xsd:element ref="dc:title" minOccurs="0" maxOccurs="1" ma:index="4" ma:displayName="Заголовок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861d21cc-bac8-473a-9e11-bd4934e3ceb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312B02C-7710-4C3D-BEC6-C694DE290B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1d21cc-bac8-473a-9e11-bd4934e3ce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6EB5E1B-B670-4924-A46D-7AD0FC437B54}">
  <ds:schemaRefs>
    <ds:schemaRef ds:uri="http://schemas.microsoft.com/office/2006/metadata/properties"/>
    <ds:schemaRef ds:uri="http://schemas.microsoft.com/office/infopath/2007/PartnerControls"/>
    <ds:schemaRef ds:uri="6e9ec66a-e5aa-46be-bb1f-eac7febfc05a"/>
    <ds:schemaRef ds:uri="95c6510e-3657-4ce8-9179-70de635c8d76"/>
    <ds:schemaRef ds:uri="861d21cc-bac8-473a-9e11-bd4934e3cebb"/>
  </ds:schemaRefs>
</ds:datastoreItem>
</file>

<file path=customXml/itemProps3.xml><?xml version="1.0" encoding="utf-8"?>
<ds:datastoreItem xmlns:ds="http://schemas.openxmlformats.org/officeDocument/2006/customXml" ds:itemID="{3292F84D-638D-4E87-913D-FB47CAC0481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макроси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</dc:creator>
  <cp:keywords/>
  <dc:description/>
  <cp:lastModifiedBy>KOLOMIIETS VADYM</cp:lastModifiedBy>
  <cp:revision/>
  <dcterms:created xsi:type="dcterms:W3CDTF">2022-10-28T06:13:12Z</dcterms:created>
  <dcterms:modified xsi:type="dcterms:W3CDTF">2023-11-13T20:55:20Z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0x0101002955A54DABDE3C479D19992335FCCDCE</vt:lpwstr>
  </property>
  <property fmtid="{D5CDD505-2E9C-101B-9397-08002B2CF9AE}" pid="3" name="MediaServiceImageTags">
    <vt:lpwstr/>
  </property>
</Properties>
</file>