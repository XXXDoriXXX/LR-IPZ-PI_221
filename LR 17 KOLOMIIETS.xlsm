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" ContentType="application/msword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adym\OneDrive\Рабочий стол\"/>
    </mc:Choice>
  </mc:AlternateContent>
  <xr:revisionPtr revIDLastSave="0" documentId="13_ncr:1_{C5C5275C-FCCB-42E6-90DB-01315A7675E8}" xr6:coauthVersionLast="47" xr6:coauthVersionMax="47" xr10:uidLastSave="{00000000-0000-0000-0000-000000000000}"/>
  <bookViews>
    <workbookView xWindow="-110" yWindow="-110" windowWidth="19420" windowHeight="11500" tabRatio="829" firstSheet="1" activeTab="8" xr2:uid="{00000000-000D-0000-FFFF-FFFF00000000}"/>
  </bookViews>
  <sheets>
    <sheet name="варіанти" sheetId="1" state="hidden" r:id="rId1"/>
    <sheet name="Структура сценария" sheetId="14" r:id="rId2"/>
    <sheet name="Аналіз в ручну+сценарії+макроси" sheetId="11" r:id="rId3"/>
    <sheet name="Аналіз_ табл підстановок" sheetId="12" r:id="rId4"/>
    <sheet name="Задача1" sheetId="3" r:id="rId5"/>
    <sheet name="Задача2" sheetId="2" r:id="rId6"/>
    <sheet name="3" sheetId="7" r:id="rId7"/>
    <sheet name="4.1" sheetId="4" r:id="rId8"/>
    <sheet name="4.2" sheetId="6" r:id="rId9"/>
    <sheet name="5.1" sheetId="8" r:id="rId10"/>
    <sheet name="5.2" sheetId="9" r:id="rId11"/>
    <sheet name="5.3" sheetId="10" r:id="rId12"/>
  </sheets>
  <definedNames>
    <definedName name="solver_adj" localSheetId="6" hidden="1">'3'!$D$13:$D$15</definedName>
    <definedName name="solver_adj" localSheetId="7" hidden="1">'4.1'!$H$18:$H$19</definedName>
    <definedName name="solver_adj" localSheetId="8" hidden="1">'4.2'!$C$35:$D$37</definedName>
    <definedName name="solver_adj" localSheetId="9" hidden="1">'5.1'!$E$21:$G$26</definedName>
    <definedName name="solver_adj" localSheetId="0" hidden="1">варіанти!#REF!</definedName>
    <definedName name="solver_adj" localSheetId="4" hidden="1">Задача1!$J$10</definedName>
    <definedName name="solver_adj" localSheetId="5" hidden="1">Задача2!$D$32:$E$32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0" hidden="1">0.0001</definedName>
    <definedName name="solver_cvg" localSheetId="4" hidden="1">0.0001</definedName>
    <definedName name="solver_cvg" localSheetId="5" hidden="1">0.0001</definedName>
    <definedName name="solver_drv" localSheetId="6" hidden="1">2</definedName>
    <definedName name="solver_drv" localSheetId="7" hidden="1">2</definedName>
    <definedName name="solver_drv" localSheetId="8" hidden="1">1</definedName>
    <definedName name="solver_drv" localSheetId="9" hidden="1">2</definedName>
    <definedName name="solver_drv" localSheetId="0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4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0" hidden="1">1</definedName>
    <definedName name="solver_est" localSheetId="4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0" hidden="1">100</definedName>
    <definedName name="solver_itr" localSheetId="4" hidden="1">100</definedName>
    <definedName name="solver_itr" localSheetId="5" hidden="1">100</definedName>
    <definedName name="solver_lhs1" localSheetId="6" hidden="1">'3'!$D$13</definedName>
    <definedName name="solver_lhs1" localSheetId="7" hidden="1">'4.1'!$F$20</definedName>
    <definedName name="solver_lhs1" localSheetId="8" hidden="1">'4.2'!$C$35:$D$37</definedName>
    <definedName name="solver_lhs1" localSheetId="9" hidden="1">'5.1'!$D$15</definedName>
    <definedName name="solver_lhs1" localSheetId="0" hidden="1">варіанти!#REF!</definedName>
    <definedName name="solver_lhs1" localSheetId="5" hidden="1">Задача2!$G$28</definedName>
    <definedName name="solver_lhs2" localSheetId="6" hidden="1">'3'!$D$14</definedName>
    <definedName name="solver_lhs2" localSheetId="7" hidden="1">'4.1'!$H$18</definedName>
    <definedName name="solver_lhs2" localSheetId="8" hidden="1">'4.2'!$C$39</definedName>
    <definedName name="solver_lhs2" localSheetId="9" hidden="1">'5.1'!$E$15</definedName>
    <definedName name="solver_lhs2" localSheetId="0" hidden="1">варіанти!#REF!</definedName>
    <definedName name="solver_lhs2" localSheetId="5" hidden="1">Задача2!$G$29</definedName>
    <definedName name="solver_lhs3" localSheetId="6" hidden="1">'3'!$D$14</definedName>
    <definedName name="solver_lhs3" localSheetId="7" hidden="1">'4.1'!$H$19</definedName>
    <definedName name="solver_lhs3" localSheetId="8" hidden="1">'4.2'!$D$39</definedName>
    <definedName name="solver_lhs3" localSheetId="9" hidden="1">'5.1'!$F$15</definedName>
    <definedName name="solver_lhs3" localSheetId="5" hidden="1">Задача2!$G$30</definedName>
    <definedName name="solver_lhs4" localSheetId="6" hidden="1">'3'!$D$15</definedName>
    <definedName name="solver_lhs4" localSheetId="8" hidden="1">'4.2'!$E$35</definedName>
    <definedName name="solver_lhs4" localSheetId="9" hidden="1">'5.1'!$H$21</definedName>
    <definedName name="solver_lhs5" localSheetId="6" hidden="1">'3'!$D$15</definedName>
    <definedName name="solver_lhs5" localSheetId="8" hidden="1">'4.2'!$E$36</definedName>
    <definedName name="solver_lhs5" localSheetId="9" hidden="1">'5.1'!$H$22</definedName>
    <definedName name="solver_lhs6" localSheetId="6" hidden="1">'3'!$D$16</definedName>
    <definedName name="solver_lhs6" localSheetId="8" hidden="1">'4.2'!$E$37</definedName>
    <definedName name="solver_lhs6" localSheetId="9" hidden="1">'5.1'!$H$23</definedName>
    <definedName name="solver_lhs7" localSheetId="9" hidden="1">'5.1'!$H$24</definedName>
    <definedName name="solver_lhs8" localSheetId="9" hidden="1">'5.1'!$H$25</definedName>
    <definedName name="solver_lhs9" localSheetId="9" hidden="1">'5.1'!$H$26</definedName>
    <definedName name="solver_lin" localSheetId="0" hidden="1">2</definedName>
    <definedName name="solver_lin" localSheetId="4" hidden="1">2</definedName>
    <definedName name="solver_lin" localSheetId="5" hidden="1">2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4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4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4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0" hidden="1">2</definedName>
    <definedName name="solver_neg" localSheetId="4" hidden="1">1</definedName>
    <definedName name="solver_neg" localSheetId="5" hidden="1">2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4" hidden="1">2147483647</definedName>
    <definedName name="solver_nod" localSheetId="5" hidden="1">2147483647</definedName>
    <definedName name="solver_num" localSheetId="6" hidden="1">6</definedName>
    <definedName name="solver_num" localSheetId="7" hidden="1">3</definedName>
    <definedName name="solver_num" localSheetId="8" hidden="1">6</definedName>
    <definedName name="solver_num" localSheetId="9" hidden="1">9</definedName>
    <definedName name="solver_num" localSheetId="0" hidden="1">2</definedName>
    <definedName name="solver_num" localSheetId="4" hidden="1">0</definedName>
    <definedName name="solver_num" localSheetId="5" hidden="1">3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0" hidden="1">1</definedName>
    <definedName name="solver_nwt" localSheetId="4" hidden="1">1</definedName>
    <definedName name="solver_nwt" localSheetId="5" hidden="1">1</definedName>
    <definedName name="solver_opt" localSheetId="6" hidden="1">'3'!$E$16</definedName>
    <definedName name="solver_opt" localSheetId="7" hidden="1">'4.1'!$G$23</definedName>
    <definedName name="solver_opt" localSheetId="9" hidden="1">'5.1'!$G$16</definedName>
    <definedName name="solver_opt" localSheetId="0" hidden="1">варіанти!#REF!</definedName>
    <definedName name="solver_opt" localSheetId="4" hidden="1">Задача1!$K$10</definedName>
    <definedName name="solver_opt" localSheetId="5" hidden="1">Задача2!$D$33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0" hidden="1">0.000001</definedName>
    <definedName name="solver_pre" localSheetId="4" hidden="1">0.000001</definedName>
    <definedName name="solver_pre" localSheetId="5" hidden="1">0.000001</definedName>
    <definedName name="solver_rbv" localSheetId="6" hidden="1">2</definedName>
    <definedName name="solver_rbv" localSheetId="7" hidden="1">2</definedName>
    <definedName name="solver_rbv" localSheetId="8" hidden="1">1</definedName>
    <definedName name="solver_rbv" localSheetId="9" hidden="1">2</definedName>
    <definedName name="solver_rbv" localSheetId="4" hidden="1">1</definedName>
    <definedName name="solver_rbv" localSheetId="5" hidden="1">1</definedName>
    <definedName name="solver_rel1" localSheetId="6" hidden="1">4</definedName>
    <definedName name="solver_rel1" localSheetId="7" hidden="1">1</definedName>
    <definedName name="solver_rel1" localSheetId="8" hidden="1">4</definedName>
    <definedName name="solver_rel1" localSheetId="9" hidden="1">3</definedName>
    <definedName name="solver_rel1" localSheetId="0" hidden="1">1</definedName>
    <definedName name="solver_rel1" localSheetId="5" hidden="1">1</definedName>
    <definedName name="solver_rel2" localSheetId="6" hidden="1">1</definedName>
    <definedName name="solver_rel2" localSheetId="7" hidden="1">3</definedName>
    <definedName name="solver_rel2" localSheetId="8" hidden="1">2</definedName>
    <definedName name="solver_rel2" localSheetId="9" hidden="1">3</definedName>
    <definedName name="solver_rel2" localSheetId="0" hidden="1">3</definedName>
    <definedName name="solver_rel2" localSheetId="5" hidden="1">1</definedName>
    <definedName name="solver_rel3" localSheetId="6" hidden="1">4</definedName>
    <definedName name="solver_rel3" localSheetId="7" hidden="1">3</definedName>
    <definedName name="solver_rel3" localSheetId="8" hidden="1">2</definedName>
    <definedName name="solver_rel3" localSheetId="9" hidden="1">3</definedName>
    <definedName name="solver_rel3" localSheetId="5" hidden="1">1</definedName>
    <definedName name="solver_rel4" localSheetId="6" hidden="1">1</definedName>
    <definedName name="solver_rel4" localSheetId="8" hidden="1">1</definedName>
    <definedName name="solver_rel4" localSheetId="9" hidden="1">3</definedName>
    <definedName name="solver_rel5" localSheetId="6" hidden="1">4</definedName>
    <definedName name="solver_rel5" localSheetId="8" hidden="1">1</definedName>
    <definedName name="solver_rel5" localSheetId="9" hidden="1">3</definedName>
    <definedName name="solver_rel6" localSheetId="6" hidden="1">1</definedName>
    <definedName name="solver_rel6" localSheetId="8" hidden="1">1</definedName>
    <definedName name="solver_rel6" localSheetId="9" hidden="1">3</definedName>
    <definedName name="solver_rel7" localSheetId="9" hidden="1">3</definedName>
    <definedName name="solver_rel8" localSheetId="9" hidden="1">3</definedName>
    <definedName name="solver_rel9" localSheetId="9" hidden="1">3</definedName>
    <definedName name="solver_rhs1" localSheetId="6" hidden="1">"целое"</definedName>
    <definedName name="solver_rhs1" localSheetId="7" hidden="1">900</definedName>
    <definedName name="solver_rhs1" localSheetId="8" hidden="1">"целое"</definedName>
    <definedName name="solver_rhs1" localSheetId="9" hidden="1">0</definedName>
    <definedName name="solver_rhs1" localSheetId="0" hidden="1">варіанти!#REF!</definedName>
    <definedName name="solver_rhs1" localSheetId="5" hidden="1">Задача2!$F$28</definedName>
    <definedName name="solver_rhs2" localSheetId="6" hidden="1">225</definedName>
    <definedName name="solver_rhs2" localSheetId="7" hidden="1">100</definedName>
    <definedName name="solver_rhs2" localSheetId="8" hidden="1">'4.2'!$C$30</definedName>
    <definedName name="solver_rhs2" localSheetId="9" hidden="1">0</definedName>
    <definedName name="solver_rhs2" localSheetId="0" hidden="1">варіанти!#REF!</definedName>
    <definedName name="solver_rhs2" localSheetId="5" hidden="1">Задача2!$F$29</definedName>
    <definedName name="solver_rhs3" localSheetId="6" hidden="1">"целое"</definedName>
    <definedName name="solver_rhs3" localSheetId="7" hidden="1">200</definedName>
    <definedName name="solver_rhs3" localSheetId="8" hidden="1">'4.2'!$D$30</definedName>
    <definedName name="solver_rhs3" localSheetId="9" hidden="1">0</definedName>
    <definedName name="solver_rhs3" localSheetId="5" hidden="1">Задача2!$F$30</definedName>
    <definedName name="solver_rhs4" localSheetId="6" hidden="1">125</definedName>
    <definedName name="solver_rhs4" localSheetId="8" hidden="1">'4.2'!$E$26</definedName>
    <definedName name="solver_rhs4" localSheetId="9" hidden="1">'5.1'!$D$21</definedName>
    <definedName name="solver_rhs5" localSheetId="6" hidden="1">"целое"</definedName>
    <definedName name="solver_rhs5" localSheetId="8" hidden="1">'4.2'!$E$27</definedName>
    <definedName name="solver_rhs5" localSheetId="9" hidden="1">'5.1'!$D$22</definedName>
    <definedName name="solver_rhs6" localSheetId="6" hidden="1">500</definedName>
    <definedName name="solver_rhs6" localSheetId="8" hidden="1">'4.2'!$E$28</definedName>
    <definedName name="solver_rhs6" localSheetId="9" hidden="1">'5.1'!$D$23</definedName>
    <definedName name="solver_rhs7" localSheetId="9" hidden="1">'5.1'!$D$24</definedName>
    <definedName name="solver_rhs8" localSheetId="9" hidden="1">'5.1'!$D$25</definedName>
    <definedName name="solver_rhs9" localSheetId="9" hidden="1">'5.1'!$D$26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4" hidden="1">1</definedName>
    <definedName name="solver_rlx" localSheetId="5" hidden="1">1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4" hidden="1">0</definedName>
    <definedName name="solver_rsd" localSheetId="5" hidden="1">0</definedName>
    <definedName name="solver_scl" localSheetId="6" hidden="1">2</definedName>
    <definedName name="solver_scl" localSheetId="7" hidden="1">2</definedName>
    <definedName name="solver_scl" localSheetId="8" hidden="1">1</definedName>
    <definedName name="solver_scl" localSheetId="9" hidden="1">2</definedName>
    <definedName name="solver_scl" localSheetId="0" hidden="1">2</definedName>
    <definedName name="solver_scl" localSheetId="4" hidden="1">2</definedName>
    <definedName name="solver_scl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0" hidden="1">2</definedName>
    <definedName name="solver_sho" localSheetId="4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4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0" hidden="1">100</definedName>
    <definedName name="solver_tim" localSheetId="4" hidden="1">100</definedName>
    <definedName name="solver_tim" localSheetId="5" hidden="1">100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0" hidden="1">0.05</definedName>
    <definedName name="solver_tol" localSheetId="4" hidden="1">0.05</definedName>
    <definedName name="solver_tol" localSheetId="5" hidden="1">0.05</definedName>
    <definedName name="solver_typ" localSheetId="6" hidden="1">1</definedName>
    <definedName name="solver_typ" localSheetId="7" hidden="1">1</definedName>
    <definedName name="solver_typ" localSheetId="8" hidden="1">1</definedName>
    <definedName name="solver_typ" localSheetId="9" hidden="1">2</definedName>
    <definedName name="solver_typ" localSheetId="0" hidden="1">2</definedName>
    <definedName name="solver_typ" localSheetId="4" hidden="1">2</definedName>
    <definedName name="solver_typ" localSheetId="5" hidden="1">1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0" hidden="1">0</definedName>
    <definedName name="solver_val" localSheetId="4" hidden="1">0</definedName>
    <definedName name="solver_val" localSheetId="5" hidden="1">0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4" hidden="1">3</definedName>
    <definedName name="solver_ver" localSheetId="5" hidden="1">3</definedName>
    <definedName name="Загальна_сума">'Аналіз в ручну+сценарії+макроси'!$B$12</definedName>
    <definedName name="Загальна_сума_комісійних">'Аналіз в ручну+сценарії+макроси'!$B$13</definedName>
    <definedName name="Перший_взнос">'Аналіз в ручну+сценарії+макроси'!$B$5</definedName>
    <definedName name="Помісячна_плата">'Аналіз в ручну+сценарії+макроси'!$B$11</definedName>
    <definedName name="Процентна_ставка">'Аналіз в ручну+сценарії+макроси'!$B$7</definedName>
    <definedName name="Розмір_ссуди">'Аналіз в ручну+сценарії+макроси'!$B$10</definedName>
    <definedName name="Строк_погашення_ссуди">'Аналіз в ручну+сценарії+макроси'!$B$6</definedName>
    <definedName name="Ціна">'Аналіз в ручну+сценарії+макроси'!$B$4</definedName>
  </definedNames>
  <calcPr calcId="191029" iterate="1" iterateCount="1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12" l="1"/>
  <c r="F7" i="12"/>
  <c r="D5" i="12"/>
  <c r="C5" i="12"/>
  <c r="E16" i="8" l="1"/>
  <c r="F16" i="8"/>
  <c r="D16" i="8"/>
  <c r="H22" i="8"/>
  <c r="H23" i="8"/>
  <c r="H24" i="8"/>
  <c r="H25" i="8"/>
  <c r="H26" i="8"/>
  <c r="H21" i="8"/>
  <c r="G16" i="8" l="1"/>
  <c r="D39" i="6" l="1"/>
  <c r="D40" i="6" s="1"/>
  <c r="C39" i="6"/>
  <c r="C40" i="6" s="1"/>
  <c r="E36" i="6"/>
  <c r="E37" i="6"/>
  <c r="E35" i="6"/>
  <c r="G19" i="4"/>
  <c r="G18" i="4"/>
  <c r="F19" i="4"/>
  <c r="F18" i="4"/>
  <c r="D16" i="7"/>
  <c r="E14" i="7"/>
  <c r="E15" i="7"/>
  <c r="E13" i="7"/>
  <c r="C41" i="6" l="1"/>
  <c r="G23" i="4"/>
  <c r="F20" i="4"/>
  <c r="E16" i="7"/>
  <c r="C6" i="7" l="1"/>
  <c r="D33" i="2"/>
  <c r="G29" i="2"/>
  <c r="H29" i="2" s="1"/>
  <c r="G30" i="2"/>
  <c r="H30" i="2" s="1"/>
  <c r="G28" i="2"/>
  <c r="H28" i="2" s="1"/>
  <c r="K10" i="3" l="1"/>
  <c r="I10" i="3"/>
  <c r="B10" i="11"/>
  <c r="B11" i="11" s="1"/>
  <c r="B12" i="11" s="1"/>
  <c r="B13" i="11" s="1"/>
  <c r="C10" i="3"/>
  <c r="H10" i="3" s="1"/>
  <c r="D10" i="3"/>
  <c r="E10" i="3"/>
  <c r="G6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B6" i="12"/>
  <c r="B7" i="12" s="1"/>
  <c r="B8" i="12" s="1"/>
  <c r="B9" i="12" s="1"/>
  <c r="B10" i="12" s="1"/>
  <c r="B11" i="12" s="1"/>
  <c r="B12" i="12" s="1"/>
  <c r="D4" i="12"/>
  <c r="C4" i="12"/>
  <c r="H31" i="12"/>
  <c r="H32" i="12"/>
  <c r="H33" i="12"/>
  <c r="H34" i="12"/>
  <c r="H35" i="12"/>
  <c r="H36" i="12"/>
  <c r="H37" i="12"/>
  <c r="H38" i="12"/>
  <c r="H39" i="12"/>
  <c r="H40" i="12"/>
  <c r="H41" i="12"/>
  <c r="E27" i="8"/>
  <c r="F27" i="8"/>
  <c r="E15" i="8" s="1"/>
  <c r="G27" i="8"/>
  <c r="F15" i="8" s="1"/>
  <c r="D27" i="8"/>
  <c r="E31" i="2"/>
  <c r="D31" i="2"/>
  <c r="F30" i="2"/>
  <c r="E30" i="2"/>
  <c r="D30" i="2"/>
  <c r="F29" i="2"/>
  <c r="E29" i="2"/>
  <c r="D29" i="2"/>
  <c r="F28" i="2"/>
  <c r="E28" i="2"/>
  <c r="D28" i="2"/>
  <c r="J7" i="3"/>
  <c r="H27" i="8" l="1"/>
  <c r="D15" i="8"/>
  <c r="C16" i="3"/>
  <c r="C26" i="3"/>
  <c r="C15" i="3"/>
  <c r="C27" i="3"/>
  <c r="C23" i="3"/>
  <c r="C19" i="3"/>
  <c r="C22" i="3"/>
  <c r="C29" i="3"/>
  <c r="C25" i="3"/>
  <c r="C21" i="3"/>
  <c r="C17" i="3"/>
  <c r="C30" i="3"/>
  <c r="C18" i="3"/>
  <c r="C28" i="3"/>
  <c r="C24" i="3"/>
  <c r="C20" i="3"/>
</calcChain>
</file>

<file path=xl/sharedStrings.xml><?xml version="1.0" encoding="utf-8"?>
<sst xmlns="http://schemas.openxmlformats.org/spreadsheetml/2006/main" count="210" uniqueCount="144">
  <si>
    <t>a</t>
  </si>
  <si>
    <t>b</t>
  </si>
  <si>
    <t>c</t>
  </si>
  <si>
    <t>x1</t>
  </si>
  <si>
    <t>x2</t>
  </si>
  <si>
    <t>y1</t>
  </si>
  <si>
    <t>y2</t>
  </si>
  <si>
    <t>Варіант</t>
  </si>
  <si>
    <t>Обчислити</t>
  </si>
  <si>
    <t>Найбільше значення функції</t>
  </si>
  <si>
    <t>Найменше значення функції</t>
  </si>
  <si>
    <t>Питомі витрати сировини</t>
  </si>
  <si>
    <t>Запаси сировини</t>
  </si>
  <si>
    <t>А</t>
  </si>
  <si>
    <t>Б</t>
  </si>
  <si>
    <t>Прибуток від реалізації</t>
  </si>
  <si>
    <t>Макс прибуток</t>
  </si>
  <si>
    <t>Сировина 1 (молоко)</t>
  </si>
  <si>
    <t>Сировина 2 (мука)</t>
  </si>
  <si>
    <t>Сировина 3 (цукор)</t>
  </si>
  <si>
    <t>Торт</t>
  </si>
  <si>
    <t>Каравай</t>
  </si>
  <si>
    <t>Кількість</t>
  </si>
  <si>
    <t xml:space="preserve">Реальні витрати
</t>
  </si>
  <si>
    <t xml:space="preserve">Залишок
</t>
  </si>
  <si>
    <t>Підбір параметру</t>
  </si>
  <si>
    <t>х</t>
  </si>
  <si>
    <t>у</t>
  </si>
  <si>
    <t>Пошук рішення</t>
  </si>
  <si>
    <t>Введіть варіант</t>
  </si>
  <si>
    <t>Сировина 1</t>
  </si>
  <si>
    <t>Сировина 2</t>
  </si>
  <si>
    <t>Сировина 3</t>
  </si>
  <si>
    <t>Прибуток</t>
  </si>
  <si>
    <t>Товар А</t>
  </si>
  <si>
    <t>Товар В</t>
  </si>
  <si>
    <t>Запаси</t>
  </si>
  <si>
    <t xml:space="preserve"> </t>
  </si>
  <si>
    <t>В кафе продають каву по ціні 5 грн 40 коп за кружку. Необхідно отримати виручку в 30 000 грн. Визначити скільки кружок кави потрібно продати?</t>
  </si>
  <si>
    <t>Ціна за кружку</t>
  </si>
  <si>
    <t>Необхідно продати</t>
  </si>
  <si>
    <t>Дохід, грн.</t>
  </si>
  <si>
    <t xml:space="preserve">В кафе продається кава трьох різновидів: звичайна кава - 3 грн., особлива кава з вершками  -4,40 грн. , особлива кава з шоколадом - 5,40 грн. 
Умови продажу дозволяють виготовляти на тиждень 500 чашок кави (будь-якого виду) обмеження в поставках вершків і шоколада  дозволяють виготовити на тиждень не більше 125 чашок кави з шоколадом і 350 чашок кави особливої кави обох видів. Визначити скільки кави і якої потрібно продати, щоб отримати максимальний прибуток.
</t>
  </si>
  <si>
    <t>Звичайна кава</t>
  </si>
  <si>
    <t>Кава з вершками</t>
  </si>
  <si>
    <t>Кава з шоколадом</t>
  </si>
  <si>
    <t>Дохід</t>
  </si>
  <si>
    <t>Ціна</t>
  </si>
  <si>
    <t>Продано всього</t>
  </si>
  <si>
    <t>Можна продати</t>
  </si>
  <si>
    <t>Деталь А</t>
  </si>
  <si>
    <t>Деталь В</t>
  </si>
  <si>
    <t>Человеко-часов</t>
  </si>
  <si>
    <t>Необхідно випустити</t>
  </si>
  <si>
    <t>Прибуток від 1 деталі</t>
  </si>
  <si>
    <t>Максимальний прибуток</t>
  </si>
  <si>
    <t>Фонд робочого часу</t>
  </si>
  <si>
    <t>Витрати робочого часу</t>
  </si>
  <si>
    <t>витрати робочого часу</t>
  </si>
  <si>
    <t>Типографія</t>
  </si>
  <si>
    <t>Алмаз-Пресс</t>
  </si>
  <si>
    <t>Карелия-Принт</t>
  </si>
  <si>
    <t>Hansaprint</t>
  </si>
  <si>
    <t>Оптова ціна, грн/шт</t>
  </si>
  <si>
    <t>"Автомеханік"</t>
  </si>
  <si>
    <t>"Інструмент"</t>
  </si>
  <si>
    <t>Ресурс часу, відведений типографією, год</t>
  </si>
  <si>
    <t>Час друку однієї тисячі екземплярів</t>
  </si>
  <si>
    <t>Попит</t>
  </si>
  <si>
    <t>Виручка</t>
  </si>
  <si>
    <t>Максимальна виручка</t>
  </si>
  <si>
    <t>Фуршет</t>
  </si>
  <si>
    <t>Сільпо</t>
  </si>
  <si>
    <t>Таврія</t>
  </si>
  <si>
    <t>Кошик</t>
  </si>
  <si>
    <t>Принцип</t>
  </si>
  <si>
    <t>Склад 1</t>
  </si>
  <si>
    <t>Склад 2</t>
  </si>
  <si>
    <t>Склад 3</t>
  </si>
  <si>
    <t>Економ</t>
  </si>
  <si>
    <t>Магазин</t>
  </si>
  <si>
    <t>Необхідно</t>
  </si>
  <si>
    <t>Перевезено</t>
  </si>
  <si>
    <t>Обєм поставки</t>
  </si>
  <si>
    <t>Всього</t>
  </si>
  <si>
    <t>Залишок</t>
  </si>
  <si>
    <t>Вартість перевезення</t>
  </si>
  <si>
    <t>Здійсніть альтернативний пошук перевезення вантажу при мінімальних загальних витратах на перевезення. Перевезення здійснюються з трьох складів. Замовлення на перевезення вантажів надходіть з шести магазинів, в які здійснюється доставка вантажів з одного із складів. Необхідно запезпечити доставку замовленої кількості вантажів враховуючі запаси на складах.</t>
  </si>
  <si>
    <t>Вартість перевезень одиниці вантажу</t>
  </si>
  <si>
    <t>Таблиця підcтановки на одну змінну</t>
  </si>
  <si>
    <t>Суда</t>
  </si>
  <si>
    <t>Період (місяці)</t>
  </si>
  <si>
    <t>Ставка</t>
  </si>
  <si>
    <t>суда</t>
  </si>
  <si>
    <t>Таблиця підстановки на дві змінні</t>
  </si>
  <si>
    <t>Кількість місяців</t>
  </si>
  <si>
    <t xml:space="preserve">Суда </t>
  </si>
  <si>
    <t>Суда 1</t>
  </si>
  <si>
    <t>Суда 2</t>
  </si>
  <si>
    <t>Процентна ставка 1</t>
  </si>
  <si>
    <t>Процентна ставка 2</t>
  </si>
  <si>
    <t>Крок процентної ставки</t>
  </si>
  <si>
    <t>Кількість місяців 1</t>
  </si>
  <si>
    <t>Кількість місяців 2</t>
  </si>
  <si>
    <t>Крок</t>
  </si>
  <si>
    <t>Вихідні дані</t>
  </si>
  <si>
    <t>Перший взнос</t>
  </si>
  <si>
    <t>Строк погашення ссуди</t>
  </si>
  <si>
    <t>Процентна ставка</t>
  </si>
  <si>
    <t>Результати розрахунку</t>
  </si>
  <si>
    <t>Розмір ссуди</t>
  </si>
  <si>
    <t>Помісячна плата</t>
  </si>
  <si>
    <t>Загальна сума</t>
  </si>
  <si>
    <t>Загальна сума комісійних</t>
  </si>
  <si>
    <t>Ціна*(1-Перший взнос)</t>
  </si>
  <si>
    <t>ПЛТ(Процентна ставка/12;Строк погашення судди; -Розмір ссуди)</t>
  </si>
  <si>
    <t>Помісячна плата *Строк погашення ссуди</t>
  </si>
  <si>
    <t>Загальна сума- Ціна</t>
  </si>
  <si>
    <r>
      <t xml:space="preserve">1. </t>
    </r>
    <r>
      <rPr>
        <b/>
        <sz val="10"/>
        <color indexed="10"/>
        <rFont val="Arial Cyr"/>
        <charset val="204"/>
      </rPr>
      <t>Що</t>
    </r>
    <r>
      <rPr>
        <sz val="10"/>
        <color indexed="12"/>
        <rFont val="Arial Cyr"/>
        <charset val="204"/>
      </rPr>
      <t xml:space="preserve"> буде, </t>
    </r>
    <r>
      <rPr>
        <b/>
        <sz val="10"/>
        <color indexed="10"/>
        <rFont val="Arial Cyr"/>
        <charset val="204"/>
      </rPr>
      <t>якщо</t>
    </r>
    <r>
      <rPr>
        <sz val="10"/>
        <color indexed="12"/>
        <rFont val="Arial Cyr"/>
        <charset val="204"/>
      </rPr>
      <t xml:space="preserve"> ми домовимось про більш низьку ціну на майно (198 500 грн)?</t>
    </r>
  </si>
  <si>
    <r>
      <t xml:space="preserve">2. </t>
    </r>
    <r>
      <rPr>
        <b/>
        <sz val="10"/>
        <color indexed="10"/>
        <rFont val="Arial Cyr"/>
        <charset val="204"/>
      </rPr>
      <t>Що</t>
    </r>
    <r>
      <rPr>
        <sz val="10"/>
        <color indexed="12"/>
        <rFont val="Arial Cyr"/>
        <charset val="204"/>
      </rPr>
      <t xml:space="preserve"> буде, </t>
    </r>
    <r>
      <rPr>
        <b/>
        <sz val="10"/>
        <color indexed="10"/>
        <rFont val="Arial Cyr"/>
        <charset val="204"/>
      </rPr>
      <t>якщо</t>
    </r>
    <r>
      <rPr>
        <sz val="10"/>
        <color indexed="12"/>
        <rFont val="Arial Cyr"/>
        <charset val="204"/>
      </rPr>
      <t xml:space="preserve"> кредитор підніме до 25% виплати?</t>
    </r>
  </si>
  <si>
    <r>
      <t xml:space="preserve">3. </t>
    </r>
    <r>
      <rPr>
        <b/>
        <sz val="10"/>
        <color indexed="10"/>
        <rFont val="Arial Cyr"/>
        <charset val="204"/>
      </rPr>
      <t>Що</t>
    </r>
    <r>
      <rPr>
        <sz val="10"/>
        <color indexed="12"/>
        <rFont val="Arial Cyr"/>
        <charset val="204"/>
      </rPr>
      <t xml:space="preserve"> буде, </t>
    </r>
    <r>
      <rPr>
        <b/>
        <sz val="10"/>
        <color indexed="10"/>
        <rFont val="Arial Cyr"/>
        <charset val="204"/>
      </rPr>
      <t>якщо</t>
    </r>
    <r>
      <rPr>
        <sz val="10"/>
        <color indexed="12"/>
        <rFont val="Arial Cyr"/>
        <charset val="204"/>
      </rPr>
      <t xml:space="preserve"> ссуду взяти на 40 років?</t>
    </r>
  </si>
  <si>
    <t>Ресурс часу, год</t>
  </si>
  <si>
    <t>Перший_взнос</t>
  </si>
  <si>
    <t>Строк_погашення_ссуди</t>
  </si>
  <si>
    <t>Розмір_ссуди</t>
  </si>
  <si>
    <t>Помісячна_плата</t>
  </si>
  <si>
    <t>Загальна_сума</t>
  </si>
  <si>
    <t>Загальна_сума_комісійних</t>
  </si>
  <si>
    <t>найкращий</t>
  </si>
  <si>
    <t>Автор: GOLOVA_CK_PR , 18.02.2014</t>
  </si>
  <si>
    <t>найгірший</t>
  </si>
  <si>
    <t>1.</t>
  </si>
  <si>
    <t>Автор: Kolomiiets Vadym , 05.11.2023</t>
  </si>
  <si>
    <t>2.</t>
  </si>
  <si>
    <t>3.</t>
  </si>
  <si>
    <t>Автор: Kolomiiets Vadym , 05.11.2023
Автор изменений: Kolomiiets Vadym , 05.11.2023</t>
  </si>
  <si>
    <t>Структура сценария</t>
  </si>
  <si>
    <t>Изменяемые:</t>
  </si>
  <si>
    <t>Текущие значения:</t>
  </si>
  <si>
    <t>Результат:</t>
  </si>
  <si>
    <t xml:space="preserve">Примечания: столбец ''Текущие значения'' представляет значения изменяемых ячеек в </t>
  </si>
  <si>
    <t>момент создания Итогового отчета по Сценарию. Изменяемые ячейки для каждого</t>
  </si>
  <si>
    <t>сценария выделены серым цветом.</t>
  </si>
  <si>
    <t>Випустили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</si>
</sst>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₴&quot;;[Red]\-#,##0.00\ &quot;₴&quot;"/>
    <numFmt numFmtId="44" formatCode="_-* #,##0.00\ &quot;₴&quot;_-;\-* #,##0.00\ &quot;₴&quot;_-;_-* &quot;-&quot;??\ &quot;₴&quot;_-;_-@_-"/>
    <numFmt numFmtId="164" formatCode="#,##0.00\ &quot;грн.&quot;;[Red]\-#,##0.00\ &quot;грн.&quot;"/>
    <numFmt numFmtId="165" formatCode="_-* #,##0.00\ &quot;грн.&quot;_-;\-* #,##0.00\ &quot;грн.&quot;_-;_-* &quot;-&quot;??\ &quot;грн.&quot;_-;_-@_-"/>
    <numFmt numFmtId="166" formatCode="0.0000000000"/>
    <numFmt numFmtId="167" formatCode="General&quot; шт&quot;"/>
    <numFmt numFmtId="168" formatCode="#,##0.00&quot;р.&quot;;[Red]\-#,##0.00&quot;р.&quot;"/>
    <numFmt numFmtId="169" formatCode="_-* #,##0.00&quot;р.&quot;_-;\-* #,##0.00&quot;р.&quot;_-;_-* &quot;-&quot;??&quot;р.&quot;_-;_-@_-"/>
    <numFmt numFmtId="170" formatCode="0.0%"/>
    <numFmt numFmtId="171" formatCode="#,##0.00\ &quot;грн.&quot;"/>
    <numFmt numFmtId="172" formatCode="#,##0.00\ &quot;₴&quot;"/>
  </numFmts>
  <fonts count="20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2"/>
      <color indexed="9"/>
      <name val="Arial Cyr"/>
      <charset val="204"/>
    </font>
    <font>
      <b/>
      <sz val="10"/>
      <name val="Arial Cyr"/>
      <charset val="204"/>
    </font>
    <font>
      <b/>
      <sz val="8"/>
      <name val="Arial Cyr"/>
      <charset val="204"/>
    </font>
    <font>
      <b/>
      <sz val="10"/>
      <color indexed="10"/>
      <name val="Times New Roman"/>
      <family val="1"/>
      <charset val="204"/>
    </font>
    <font>
      <b/>
      <sz val="10"/>
      <color indexed="10"/>
      <name val="Arial Cyr"/>
      <charset val="204"/>
    </font>
    <font>
      <b/>
      <sz val="10"/>
      <color indexed="12"/>
      <name val="Arial Cyr"/>
      <charset val="204"/>
    </font>
    <font>
      <sz val="10"/>
      <color indexed="12"/>
      <name val="Arial Cyr"/>
      <charset val="204"/>
    </font>
    <font>
      <sz val="14"/>
      <name val="Arial Cyr"/>
      <charset val="204"/>
    </font>
    <font>
      <b/>
      <sz val="10"/>
      <name val="Arial Cyr"/>
      <family val="2"/>
      <charset val="204"/>
    </font>
    <font>
      <sz val="18"/>
      <name val="Arial Cyr"/>
      <charset val="204"/>
    </font>
    <font>
      <b/>
      <sz val="18"/>
      <color indexed="10"/>
      <name val="Arial Cyr"/>
      <charset val="204"/>
    </font>
    <font>
      <b/>
      <sz val="11"/>
      <color indexed="9"/>
      <name val="Arial Cyr"/>
      <charset val="204"/>
    </font>
    <font>
      <b/>
      <sz val="10"/>
      <color indexed="8"/>
      <name val="Arial Cyr"/>
      <charset val="204"/>
    </font>
    <font>
      <b/>
      <sz val="10"/>
      <color indexed="18"/>
      <name val="Arial Cyr"/>
      <charset val="204"/>
    </font>
    <font>
      <sz val="9"/>
      <color indexed="9"/>
      <name val="Arial Cyr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gray125">
        <bgColor indexed="41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4">
    <xf numFmtId="0" fontId="0" fillId="0" borderId="0" xfId="0"/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 vertical="top" wrapText="1"/>
    </xf>
    <xf numFmtId="0" fontId="0" fillId="0" borderId="3" xfId="0" applyBorder="1"/>
    <xf numFmtId="0" fontId="3" fillId="0" borderId="4" xfId="0" applyFont="1" applyBorder="1" applyAlignment="1">
      <alignment vertical="top" wrapText="1"/>
    </xf>
    <xf numFmtId="0" fontId="0" fillId="0" borderId="5" xfId="0" applyBorder="1"/>
    <xf numFmtId="0" fontId="3" fillId="0" borderId="6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top" wrapText="1"/>
    </xf>
    <xf numFmtId="0" fontId="4" fillId="0" borderId="9" xfId="0" applyFont="1" applyBorder="1" applyAlignment="1">
      <alignment vertical="top" wrapText="1"/>
    </xf>
    <xf numFmtId="0" fontId="4" fillId="0" borderId="10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 wrapText="1"/>
    </xf>
    <xf numFmtId="0" fontId="4" fillId="0" borderId="11" xfId="0" applyFont="1" applyFill="1" applyBorder="1" applyAlignment="1">
      <alignment vertical="top" wrapText="1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8" fillId="0" borderId="20" xfId="0" applyFont="1" applyBorder="1" applyAlignment="1">
      <alignment horizontal="center" vertical="top" wrapText="1"/>
    </xf>
    <xf numFmtId="0" fontId="3" fillId="0" borderId="2" xfId="0" applyFont="1" applyBorder="1" applyAlignment="1" applyProtection="1">
      <alignment horizontal="center" vertical="top" wrapText="1"/>
      <protection locked="0"/>
    </xf>
    <xf numFmtId="0" fontId="0" fillId="0" borderId="12" xfId="0" applyBorder="1" applyProtection="1">
      <protection locked="0"/>
    </xf>
    <xf numFmtId="0" fontId="0" fillId="0" borderId="0" xfId="0" applyProtection="1">
      <protection locked="0"/>
    </xf>
    <xf numFmtId="0" fontId="3" fillId="0" borderId="1" xfId="0" applyFont="1" applyBorder="1" applyAlignment="1" applyProtection="1">
      <alignment horizontal="center" vertical="top" wrapText="1"/>
      <protection locked="0"/>
    </xf>
    <xf numFmtId="0" fontId="0" fillId="0" borderId="5" xfId="0" applyBorder="1" applyProtection="1">
      <protection locked="0"/>
    </xf>
    <xf numFmtId="0" fontId="0" fillId="0" borderId="3" xfId="0" applyBorder="1" applyProtection="1">
      <protection locked="0"/>
    </xf>
    <xf numFmtId="0" fontId="3" fillId="0" borderId="7" xfId="0" applyFont="1" applyBorder="1" applyAlignment="1" applyProtection="1">
      <alignment vertical="top" wrapText="1"/>
      <protection locked="0"/>
    </xf>
    <xf numFmtId="0" fontId="0" fillId="0" borderId="13" xfId="0" applyBorder="1" applyProtection="1">
      <protection locked="0"/>
    </xf>
    <xf numFmtId="0" fontId="3" fillId="0" borderId="1" xfId="0" applyFont="1" applyBorder="1" applyAlignment="1" applyProtection="1">
      <alignment vertical="top" wrapText="1"/>
      <protection locked="0"/>
    </xf>
    <xf numFmtId="0" fontId="0" fillId="0" borderId="8" xfId="0" applyBorder="1" applyProtection="1">
      <protection locked="0"/>
    </xf>
    <xf numFmtId="0" fontId="3" fillId="0" borderId="7" xfId="0" applyFont="1" applyBorder="1" applyAlignment="1" applyProtection="1">
      <alignment horizontal="center" vertical="top" wrapText="1"/>
      <protection locked="0"/>
    </xf>
    <xf numFmtId="0" fontId="3" fillId="5" borderId="21" xfId="0" applyFont="1" applyFill="1" applyBorder="1" applyAlignment="1" applyProtection="1">
      <alignment horizontal="center" vertical="top" wrapText="1"/>
      <protection locked="0"/>
    </xf>
    <xf numFmtId="0" fontId="3" fillId="5" borderId="1" xfId="0" applyFont="1" applyFill="1" applyBorder="1" applyAlignment="1" applyProtection="1">
      <alignment horizontal="center" vertical="top" wrapText="1"/>
      <protection locked="0"/>
    </xf>
    <xf numFmtId="0" fontId="5" fillId="6" borderId="22" xfId="0" applyFont="1" applyFill="1" applyBorder="1" applyAlignment="1" applyProtection="1">
      <alignment horizontal="center"/>
      <protection locked="0"/>
    </xf>
    <xf numFmtId="0" fontId="0" fillId="0" borderId="14" xfId="0" applyBorder="1" applyProtection="1">
      <protection locked="0"/>
    </xf>
    <xf numFmtId="0" fontId="2" fillId="0" borderId="0" xfId="0" quotePrefix="1" applyFont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166" fontId="0" fillId="2" borderId="8" xfId="0" applyNumberFormat="1" applyFill="1" applyBorder="1" applyProtection="1">
      <protection locked="0"/>
    </xf>
    <xf numFmtId="0" fontId="0" fillId="2" borderId="2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5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/>
    <xf numFmtId="0" fontId="0" fillId="0" borderId="9" xfId="0" applyBorder="1"/>
    <xf numFmtId="0" fontId="0" fillId="0" borderId="12" xfId="0" applyBorder="1"/>
    <xf numFmtId="0" fontId="0" fillId="0" borderId="4" xfId="0" applyBorder="1"/>
    <xf numFmtId="0" fontId="0" fillId="0" borderId="10" xfId="0" applyBorder="1"/>
    <xf numFmtId="0" fontId="0" fillId="0" borderId="2" xfId="0" applyBorder="1"/>
    <xf numFmtId="0" fontId="0" fillId="0" borderId="8" xfId="0" applyBorder="1"/>
    <xf numFmtId="0" fontId="6" fillId="0" borderId="2" xfId="0" applyFont="1" applyBorder="1" applyAlignment="1">
      <alignment horizontal="center"/>
    </xf>
    <xf numFmtId="0" fontId="0" fillId="0" borderId="26" xfId="0" applyBorder="1"/>
    <xf numFmtId="0" fontId="0" fillId="0" borderId="21" xfId="0" applyBorder="1"/>
    <xf numFmtId="0" fontId="0" fillId="0" borderId="27" xfId="0" applyBorder="1"/>
    <xf numFmtId="0" fontId="6" fillId="0" borderId="28" xfId="0" applyFont="1" applyBorder="1"/>
    <xf numFmtId="0" fontId="6" fillId="0" borderId="29" xfId="0" applyFont="1" applyBorder="1" applyAlignment="1">
      <alignment horizontal="center"/>
    </xf>
    <xf numFmtId="0" fontId="0" fillId="0" borderId="24" xfId="0" applyBorder="1"/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30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2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1" xfId="0" applyFill="1" applyBorder="1"/>
    <xf numFmtId="3" fontId="0" fillId="0" borderId="32" xfId="0" applyNumberForma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10" xfId="0" applyFill="1" applyBorder="1"/>
    <xf numFmtId="0" fontId="0" fillId="0" borderId="33" xfId="0" applyFill="1" applyBorder="1"/>
    <xf numFmtId="0" fontId="0" fillId="0" borderId="30" xfId="0" applyBorder="1"/>
    <xf numFmtId="0" fontId="6" fillId="0" borderId="1" xfId="0" applyFont="1" applyBorder="1" applyAlignment="1">
      <alignment horizontal="center"/>
    </xf>
    <xf numFmtId="165" fontId="0" fillId="0" borderId="1" xfId="1" applyFont="1" applyBorder="1" applyAlignment="1">
      <alignment horizont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26" xfId="0" applyFont="1" applyBorder="1"/>
    <xf numFmtId="0" fontId="6" fillId="0" borderId="31" xfId="0" applyFont="1" applyFill="1" applyBorder="1"/>
    <xf numFmtId="0" fontId="6" fillId="0" borderId="21" xfId="0" applyFont="1" applyBorder="1" applyAlignment="1">
      <alignment horizontal="center"/>
    </xf>
    <xf numFmtId="0" fontId="6" fillId="0" borderId="9" xfId="0" applyFont="1" applyBorder="1"/>
    <xf numFmtId="165" fontId="0" fillId="0" borderId="2" xfId="1" applyFont="1" applyBorder="1" applyAlignment="1">
      <alignment horizontal="center"/>
    </xf>
    <xf numFmtId="165" fontId="0" fillId="0" borderId="12" xfId="1" applyFont="1" applyBorder="1" applyAlignment="1">
      <alignment horizontal="center"/>
    </xf>
    <xf numFmtId="165" fontId="0" fillId="0" borderId="5" xfId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21" xfId="1" applyFont="1" applyBorder="1" applyAlignment="1">
      <alignment horizontal="center"/>
    </xf>
    <xf numFmtId="165" fontId="0" fillId="0" borderId="34" xfId="1" applyFont="1" applyBorder="1" applyAlignment="1">
      <alignment horizontal="center"/>
    </xf>
    <xf numFmtId="0" fontId="10" fillId="0" borderId="9" xfId="0" applyFont="1" applyFill="1" applyBorder="1"/>
    <xf numFmtId="167" fontId="11" fillId="0" borderId="2" xfId="0" applyNumberFormat="1" applyFont="1" applyBorder="1" applyAlignment="1">
      <alignment horizontal="center"/>
    </xf>
    <xf numFmtId="167" fontId="11" fillId="0" borderId="12" xfId="0" applyNumberFormat="1" applyFont="1" applyBorder="1" applyAlignment="1">
      <alignment horizontal="center"/>
    </xf>
    <xf numFmtId="0" fontId="10" fillId="0" borderId="10" xfId="0" applyFont="1" applyFill="1" applyBorder="1"/>
    <xf numFmtId="0" fontId="11" fillId="0" borderId="8" xfId="0" applyFont="1" applyBorder="1"/>
    <xf numFmtId="0" fontId="10" fillId="0" borderId="0" xfId="0" applyFont="1" applyFill="1" applyBorder="1"/>
    <xf numFmtId="0" fontId="11" fillId="0" borderId="0" xfId="0" applyFont="1" applyBorder="1"/>
    <xf numFmtId="0" fontId="10" fillId="0" borderId="4" xfId="0" applyFont="1" applyFill="1" applyBorder="1"/>
    <xf numFmtId="0" fontId="6" fillId="0" borderId="15" xfId="0" applyFont="1" applyBorder="1" applyAlignment="1">
      <alignment horizontal="center"/>
    </xf>
    <xf numFmtId="0" fontId="0" fillId="7" borderId="19" xfId="0" applyFill="1" applyBorder="1"/>
    <xf numFmtId="167" fontId="0" fillId="5" borderId="1" xfId="0" applyNumberFormat="1" applyFill="1" applyBorder="1" applyAlignment="1">
      <alignment horizontal="center"/>
    </xf>
    <xf numFmtId="0" fontId="13" fillId="8" borderId="31" xfId="0" applyFont="1" applyFill="1" applyBorder="1"/>
    <xf numFmtId="3" fontId="13" fillId="8" borderId="41" xfId="0" applyNumberFormat="1" applyFont="1" applyFill="1" applyBorder="1"/>
    <xf numFmtId="3" fontId="13" fillId="8" borderId="44" xfId="0" applyNumberFormat="1" applyFont="1" applyFill="1" applyBorder="1"/>
    <xf numFmtId="0" fontId="0" fillId="9" borderId="0" xfId="0" applyFill="1"/>
    <xf numFmtId="9" fontId="13" fillId="8" borderId="36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10" fontId="13" fillId="8" borderId="51" xfId="0" applyNumberFormat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71" fontId="1" fillId="8" borderId="1" xfId="2" applyNumberFormat="1" applyFill="1" applyBorder="1" applyAlignment="1">
      <alignment horizontal="center"/>
    </xf>
    <xf numFmtId="9" fontId="1" fillId="8" borderId="1" xfId="3" applyFill="1" applyBorder="1" applyAlignment="1">
      <alignment horizontal="center"/>
    </xf>
    <xf numFmtId="171" fontId="0" fillId="0" borderId="0" xfId="0" applyNumberFormat="1"/>
    <xf numFmtId="164" fontId="0" fillId="0" borderId="0" xfId="0" applyNumberFormat="1"/>
    <xf numFmtId="9" fontId="1" fillId="0" borderId="0" xfId="3"/>
    <xf numFmtId="170" fontId="1" fillId="0" borderId="0" xfId="3" applyNumberFormat="1"/>
    <xf numFmtId="0" fontId="13" fillId="0" borderId="0" xfId="0" applyFont="1"/>
    <xf numFmtId="0" fontId="13" fillId="0" borderId="31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3" fontId="0" fillId="0" borderId="22" xfId="0" applyNumberFormat="1" applyBorder="1"/>
    <xf numFmtId="9" fontId="13" fillId="0" borderId="9" xfId="0" applyNumberFormat="1" applyFont="1" applyBorder="1" applyAlignment="1">
      <alignment horizontal="center"/>
    </xf>
    <xf numFmtId="10" fontId="13" fillId="0" borderId="4" xfId="0" applyNumberFormat="1" applyFont="1" applyBorder="1" applyAlignment="1">
      <alignment horizontal="center"/>
    </xf>
    <xf numFmtId="9" fontId="13" fillId="0" borderId="4" xfId="0" applyNumberFormat="1" applyFont="1" applyBorder="1" applyAlignment="1">
      <alignment horizontal="center"/>
    </xf>
    <xf numFmtId="10" fontId="13" fillId="0" borderId="10" xfId="0" applyNumberFormat="1" applyFont="1" applyBorder="1" applyAlignment="1">
      <alignment horizontal="center"/>
    </xf>
    <xf numFmtId="0" fontId="13" fillId="0" borderId="22" xfId="0" applyFont="1" applyBorder="1" applyAlignment="1">
      <alignment horizontal="center" vertical="center" wrapText="1"/>
    </xf>
    <xf numFmtId="0" fontId="13" fillId="0" borderId="53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31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170" fontId="1" fillId="0" borderId="6" xfId="3" applyNumberFormat="1" applyBorder="1" applyAlignment="1">
      <alignment horizontal="center"/>
    </xf>
    <xf numFmtId="170" fontId="1" fillId="0" borderId="13" xfId="3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5" xfId="0" applyBorder="1" applyAlignment="1">
      <alignment horizontal="center"/>
    </xf>
    <xf numFmtId="0" fontId="13" fillId="0" borderId="17" xfId="0" applyFont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170" fontId="1" fillId="0" borderId="4" xfId="3" applyNumberFormat="1" applyBorder="1" applyAlignment="1">
      <alignment horizontal="center"/>
    </xf>
    <xf numFmtId="170" fontId="1" fillId="0" borderId="5" xfId="3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13" fillId="0" borderId="19" xfId="0" applyFon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170" fontId="1" fillId="0" borderId="10" xfId="3" applyNumberFormat="1" applyBorder="1" applyAlignment="1">
      <alignment horizontal="center"/>
    </xf>
    <xf numFmtId="170" fontId="1" fillId="0" borderId="3" xfId="3" applyNumberFormat="1" applyBorder="1" applyAlignment="1">
      <alignment horizontal="center"/>
    </xf>
    <xf numFmtId="9" fontId="0" fillId="0" borderId="1" xfId="0" applyNumberFormat="1" applyBorder="1"/>
    <xf numFmtId="0" fontId="0" fillId="0" borderId="7" xfId="0" applyBorder="1"/>
    <xf numFmtId="165" fontId="0" fillId="0" borderId="7" xfId="1" applyFont="1" applyBorder="1"/>
    <xf numFmtId="0" fontId="2" fillId="0" borderId="0" xfId="0" applyFont="1"/>
    <xf numFmtId="0" fontId="11" fillId="0" borderId="0" xfId="0" applyFont="1"/>
    <xf numFmtId="0" fontId="14" fillId="0" borderId="0" xfId="0" applyFont="1"/>
    <xf numFmtId="10" fontId="0" fillId="0" borderId="16" xfId="3" applyNumberFormat="1" applyFont="1" applyBorder="1" applyAlignment="1">
      <alignment horizontal="center"/>
    </xf>
    <xf numFmtId="0" fontId="15" fillId="0" borderId="22" xfId="0" applyFont="1" applyBorder="1"/>
    <xf numFmtId="168" fontId="0" fillId="10" borderId="21" xfId="0" applyNumberFormat="1" applyFill="1" applyBorder="1"/>
    <xf numFmtId="164" fontId="0" fillId="10" borderId="10" xfId="0" applyNumberFormat="1" applyFill="1" applyBorder="1"/>
    <xf numFmtId="8" fontId="0" fillId="0" borderId="1" xfId="0" applyNumberFormat="1" applyBorder="1"/>
    <xf numFmtId="172" fontId="0" fillId="0" borderId="1" xfId="0" applyNumberFormat="1" applyBorder="1"/>
    <xf numFmtId="0" fontId="0" fillId="0" borderId="0" xfId="0" applyFill="1" applyBorder="1" applyAlignment="1"/>
    <xf numFmtId="165" fontId="0" fillId="0" borderId="0" xfId="0" applyNumberFormat="1" applyFill="1" applyBorder="1" applyAlignment="1"/>
    <xf numFmtId="9" fontId="0" fillId="0" borderId="0" xfId="0" applyNumberFormat="1" applyFill="1" applyBorder="1" applyAlignment="1"/>
    <xf numFmtId="8" fontId="0" fillId="0" borderId="0" xfId="0" applyNumberFormat="1" applyFill="1" applyBorder="1" applyAlignment="1"/>
    <xf numFmtId="172" fontId="0" fillId="0" borderId="0" xfId="0" applyNumberFormat="1" applyFill="1" applyBorder="1" applyAlignment="1"/>
    <xf numFmtId="172" fontId="0" fillId="0" borderId="38" xfId="0" applyNumberFormat="1" applyFill="1" applyBorder="1" applyAlignment="1"/>
    <xf numFmtId="0" fontId="16" fillId="11" borderId="47" xfId="0" applyFont="1" applyFill="1" applyBorder="1" applyAlignment="1">
      <alignment horizontal="left"/>
    </xf>
    <xf numFmtId="0" fontId="16" fillId="11" borderId="56" xfId="0" applyFont="1" applyFill="1" applyBorder="1" applyAlignment="1">
      <alignment horizontal="left"/>
    </xf>
    <xf numFmtId="0" fontId="0" fillId="0" borderId="57" xfId="0" applyFill="1" applyBorder="1" applyAlignment="1"/>
    <xf numFmtId="0" fontId="17" fillId="12" borderId="0" xfId="0" applyFont="1" applyFill="1" applyBorder="1" applyAlignment="1">
      <alignment horizontal="left"/>
    </xf>
    <xf numFmtId="0" fontId="18" fillId="12" borderId="57" xfId="0" applyFont="1" applyFill="1" applyBorder="1" applyAlignment="1">
      <alignment horizontal="left"/>
    </xf>
    <xf numFmtId="0" fontId="17" fillId="12" borderId="38" xfId="0" applyFont="1" applyFill="1" applyBorder="1" applyAlignment="1">
      <alignment horizontal="left"/>
    </xf>
    <xf numFmtId="0" fontId="19" fillId="11" borderId="56" xfId="0" applyFont="1" applyFill="1" applyBorder="1" applyAlignment="1">
      <alignment horizontal="right"/>
    </xf>
    <xf numFmtId="0" fontId="19" fillId="11" borderId="47" xfId="0" applyFont="1" applyFill="1" applyBorder="1" applyAlignment="1">
      <alignment horizontal="right"/>
    </xf>
    <xf numFmtId="165" fontId="0" fillId="13" borderId="0" xfId="0" applyNumberFormat="1" applyFill="1" applyBorder="1" applyAlignment="1"/>
    <xf numFmtId="9" fontId="0" fillId="13" borderId="0" xfId="0" applyNumberFormat="1" applyFill="1" applyBorder="1" applyAlignment="1"/>
    <xf numFmtId="0" fontId="0" fillId="13" borderId="0" xfId="0" applyFill="1" applyBorder="1" applyAlignment="1"/>
    <xf numFmtId="0" fontId="2" fillId="0" borderId="0" xfId="0" applyFont="1" applyFill="1" applyBorder="1" applyAlignment="1">
      <alignment vertical="top" wrapText="1"/>
    </xf>
    <xf numFmtId="2" fontId="0" fillId="0" borderId="12" xfId="0" applyNumberFormat="1" applyBorder="1"/>
    <xf numFmtId="1" fontId="0" fillId="0" borderId="5" xfId="0" applyNumberFormat="1" applyBorder="1"/>
    <xf numFmtId="0" fontId="0" fillId="0" borderId="58" xfId="0" applyFill="1" applyBorder="1" applyAlignment="1">
      <alignment horizontal="center" vertical="center" wrapText="1"/>
    </xf>
    <xf numFmtId="167" fontId="11" fillId="0" borderId="1" xfId="0" applyNumberFormat="1" applyFont="1" applyBorder="1"/>
    <xf numFmtId="0" fontId="6" fillId="0" borderId="31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8" borderId="49" xfId="0" applyFill="1" applyBorder="1" applyAlignment="1">
      <alignment horizontal="center" vertical="center"/>
    </xf>
    <xf numFmtId="0" fontId="0" fillId="8" borderId="5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13" fillId="8" borderId="35" xfId="0" applyFont="1" applyFill="1" applyBorder="1" applyAlignment="1">
      <alignment horizontal="center"/>
    </xf>
    <xf numFmtId="0" fontId="13" fillId="8" borderId="32" xfId="0" applyFont="1" applyFill="1" applyBorder="1" applyAlignment="1">
      <alignment horizontal="center"/>
    </xf>
    <xf numFmtId="0" fontId="13" fillId="8" borderId="46" xfId="0" applyFont="1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6" fillId="2" borderId="35" xfId="0" applyFont="1" applyFill="1" applyBorder="1" applyAlignment="1" applyProtection="1">
      <alignment horizontal="center"/>
      <protection locked="0"/>
    </xf>
    <xf numFmtId="0" fontId="6" fillId="2" borderId="32" xfId="0" applyFont="1" applyFill="1" applyBorder="1" applyAlignment="1" applyProtection="1">
      <alignment horizontal="center"/>
      <protection locked="0"/>
    </xf>
    <xf numFmtId="0" fontId="0" fillId="3" borderId="36" xfId="0" applyFill="1" applyBorder="1" applyAlignment="1" applyProtection="1">
      <alignment horizontal="center"/>
      <protection locked="0"/>
    </xf>
    <xf numFmtId="0" fontId="0" fillId="3" borderId="37" xfId="0" applyFill="1" applyBorder="1" applyAlignment="1" applyProtection="1">
      <alignment horizontal="center"/>
      <protection locked="0"/>
    </xf>
    <xf numFmtId="0" fontId="9" fillId="0" borderId="38" xfId="0" applyFont="1" applyBorder="1" applyAlignment="1" applyProtection="1">
      <alignment horizontal="center"/>
      <protection locked="0"/>
    </xf>
    <xf numFmtId="0" fontId="7" fillId="0" borderId="2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4" fillId="0" borderId="39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/>
    <xf numFmtId="0" fontId="7" fillId="0" borderId="19" xfId="0" applyFont="1" applyBorder="1" applyAlignment="1"/>
    <xf numFmtId="0" fontId="7" fillId="2" borderId="9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4" borderId="40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3" fillId="0" borderId="41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  <xf numFmtId="0" fontId="6" fillId="0" borderId="28" xfId="0" applyFont="1" applyBorder="1" applyAlignment="1">
      <alignment horizontal="center"/>
    </xf>
    <xf numFmtId="0" fontId="6" fillId="0" borderId="35" xfId="0" applyFont="1" applyFill="1" applyBorder="1" applyAlignment="1">
      <alignment horizontal="center"/>
    </xf>
    <xf numFmtId="0" fontId="6" fillId="0" borderId="4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2" fillId="0" borderId="47" xfId="0" applyFont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6" fillId="0" borderId="9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wrapText="1"/>
    </xf>
    <xf numFmtId="8" fontId="0" fillId="10" borderId="0" xfId="0" applyNumberFormat="1" applyFill="1"/>
  </cellXfs>
  <cellStyles count="4">
    <cellStyle name="Денежный" xfId="1" builtinId="4"/>
    <cellStyle name="Денежный_24табл_підстановки" xfId="2" xr:uid="{00000000-0005-0000-0000-000001000000}"/>
    <cellStyle name="Обычный" xfId="0" builtinId="0"/>
    <cellStyle name="Процентный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варіанти!#REF!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варіанти!#REF!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варіанти!#REF!</c15:sqref>
                        </c15:formulaRef>
                      </c:ext>
                    </c:extLst>
                    <c:strCache>
                      <c:ptCount val="1"/>
                      <c:pt idx="0">
                        <c:v>#ССЫЛКА!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3CE-41A5-AC16-69CAC1962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198440"/>
        <c:axId val="1"/>
      </c:scatterChart>
      <c:valAx>
        <c:axId val="409198440"/>
        <c:scaling>
          <c:orientation val="minMax"/>
        </c:scaling>
        <c:delete val="0"/>
        <c:axPos val="b"/>
        <c:numFmt formatCode="General" sourceLinked="1"/>
        <c:majorTickMark val="out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1"/>
        <c:crosses val="autoZero"/>
        <c:crossBetween val="midCat"/>
        <c:minorUnit val="0.1"/>
      </c:valAx>
      <c:valAx>
        <c:axId val="1"/>
        <c:scaling>
          <c:orientation val="minMax"/>
          <c:max val="16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en-US"/>
          </a:p>
        </c:txPr>
        <c:crossAx val="409198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Задача1!$B$15:$B$31</c:f>
              <c:numCache>
                <c:formatCode>General</c:formatCode>
                <c:ptCount val="17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4.5</c:v>
                </c:pt>
                <c:pt idx="14">
                  <c:v>5</c:v>
                </c:pt>
                <c:pt idx="15">
                  <c:v>5.5</c:v>
                </c:pt>
                <c:pt idx="16">
                  <c:v>6</c:v>
                </c:pt>
              </c:numCache>
            </c:numRef>
          </c:xVal>
          <c:yVal>
            <c:numRef>
              <c:f>Задача1!$C$15:$C$31</c:f>
              <c:numCache>
                <c:formatCode>General</c:formatCode>
                <c:ptCount val="17"/>
                <c:pt idx="0">
                  <c:v>2.4800000000000022</c:v>
                </c:pt>
                <c:pt idx="1">
                  <c:v>-3.42</c:v>
                </c:pt>
                <c:pt idx="2">
                  <c:v>-8.32</c:v>
                </c:pt>
                <c:pt idx="3">
                  <c:v>-12.219999999999999</c:v>
                </c:pt>
                <c:pt idx="4">
                  <c:v>-15.12</c:v>
                </c:pt>
                <c:pt idx="5">
                  <c:v>-17.02</c:v>
                </c:pt>
                <c:pt idx="6">
                  <c:v>-17.919999999999998</c:v>
                </c:pt>
                <c:pt idx="7">
                  <c:v>-17.82</c:v>
                </c:pt>
                <c:pt idx="8">
                  <c:v>-16.72</c:v>
                </c:pt>
                <c:pt idx="9">
                  <c:v>-14.62</c:v>
                </c:pt>
                <c:pt idx="10">
                  <c:v>-11.519999999999998</c:v>
                </c:pt>
                <c:pt idx="11">
                  <c:v>-7.42</c:v>
                </c:pt>
                <c:pt idx="12">
                  <c:v>-2.3199999999999985</c:v>
                </c:pt>
                <c:pt idx="13">
                  <c:v>3.7800000000000029</c:v>
                </c:pt>
                <c:pt idx="14">
                  <c:v>10.88</c:v>
                </c:pt>
                <c:pt idx="15">
                  <c:v>18.980000000000004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EE-47E4-9822-EC5F45E32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33391"/>
        <c:axId val="283943375"/>
      </c:scatterChart>
      <c:valAx>
        <c:axId val="283933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943375"/>
        <c:crosses val="autoZero"/>
        <c:crossBetween val="midCat"/>
      </c:valAx>
      <c:valAx>
        <c:axId val="28394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933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0</xdr:rowOff>
    </xdr:from>
    <xdr:to>
      <xdr:col>11</xdr:col>
      <xdr:colOff>581025</xdr:colOff>
      <xdr:row>0</xdr:row>
      <xdr:rowOff>0</xdr:rowOff>
    </xdr:to>
    <xdr:graphicFrame macro="">
      <xdr:nvGraphicFramePr>
        <xdr:cNvPr id="1025" name="Диаграмма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400050</xdr:colOff>
      <xdr:row>4</xdr:row>
      <xdr:rowOff>133350</xdr:rowOff>
    </xdr:from>
    <xdr:to>
      <xdr:col>11</xdr:col>
      <xdr:colOff>361950</xdr:colOff>
      <xdr:row>8</xdr:row>
      <xdr:rowOff>142875</xdr:rowOff>
    </xdr:to>
    <xdr:sp macro="[0]!Прямоуг1_Щелкнуть" textlink="">
      <xdr:nvSpPr>
        <xdr:cNvPr id="7169" name="Rectangle 1">
          <a:extLst>
            <a:ext uri="{FF2B5EF4-FFF2-40B4-BE49-F238E27FC236}">
              <a16:creationId xmlns:a16="http://schemas.microsoft.com/office/drawing/2014/main" id="{00000000-0008-0000-0200-0000011C0000}"/>
            </a:ext>
          </a:extLst>
        </xdr:cNvPr>
        <xdr:cNvSpPr>
          <a:spLocks noChangeArrowheads="1"/>
        </xdr:cNvSpPr>
      </xdr:nvSpPr>
      <xdr:spPr bwMode="auto">
        <a:xfrm>
          <a:off x="6610350" y="723900"/>
          <a:ext cx="1790700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найкращий</a:t>
          </a:r>
        </a:p>
      </xdr:txBody>
    </xdr:sp>
    <xdr:clientData/>
  </xdr:twoCellAnchor>
  <xdr:twoCellAnchor>
    <xdr:from>
      <xdr:col>8</xdr:col>
      <xdr:colOff>423333</xdr:colOff>
      <xdr:row>9</xdr:row>
      <xdr:rowOff>137584</xdr:rowOff>
    </xdr:from>
    <xdr:to>
      <xdr:col>11</xdr:col>
      <xdr:colOff>227542</xdr:colOff>
      <xdr:row>14</xdr:row>
      <xdr:rowOff>68792</xdr:rowOff>
    </xdr:to>
    <xdr:sp macro="[0]!Прямоугольник1_Щелчок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52166" y="1529292"/>
          <a:ext cx="1629834" cy="724958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</a:p>
        <a:p>
          <a:pPr algn="l"/>
          <a:endParaRPr lang="en-US" sz="1100"/>
        </a:p>
      </xdr:txBody>
    </xdr:sp>
    <xdr:clientData/>
  </xdr:twoCellAnchor>
  <xdr:twoCellAnchor>
    <xdr:from>
      <xdr:col>8</xdr:col>
      <xdr:colOff>418042</xdr:colOff>
      <xdr:row>15</xdr:row>
      <xdr:rowOff>0</xdr:rowOff>
    </xdr:from>
    <xdr:to>
      <xdr:col>11</xdr:col>
      <xdr:colOff>248709</xdr:colOff>
      <xdr:row>19</xdr:row>
      <xdr:rowOff>37042</xdr:rowOff>
    </xdr:to>
    <xdr:sp macro="[0]!Прямоугольник2_Щелчок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746875" y="2344208"/>
          <a:ext cx="1656292" cy="677334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</a:t>
          </a:r>
        </a:p>
      </xdr:txBody>
    </xdr:sp>
    <xdr:clientData/>
  </xdr:twoCellAnchor>
  <xdr:twoCellAnchor>
    <xdr:from>
      <xdr:col>8</xdr:col>
      <xdr:colOff>423334</xdr:colOff>
      <xdr:row>19</xdr:row>
      <xdr:rowOff>111125</xdr:rowOff>
    </xdr:from>
    <xdr:to>
      <xdr:col>11</xdr:col>
      <xdr:colOff>243417</xdr:colOff>
      <xdr:row>23</xdr:row>
      <xdr:rowOff>105834</xdr:rowOff>
    </xdr:to>
    <xdr:sp macro="[0]!Прямоугольник4_Щелчок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52167" y="3095625"/>
          <a:ext cx="1645708" cy="640292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</a:p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169333</xdr:colOff>
      <xdr:row>2</xdr:row>
      <xdr:rowOff>74084</xdr:rowOff>
    </xdr:from>
    <xdr:to>
      <xdr:col>7</xdr:col>
      <xdr:colOff>475191</xdr:colOff>
      <xdr:row>8</xdr:row>
      <xdr:rowOff>20109</xdr:rowOff>
    </xdr:to>
    <xdr:pic macro="[0]!Рисунок6_Щелчок">
      <xdr:nvPicPr>
        <xdr:cNvPr id="7" name="Рисунок 6" descr="Стрелка: изгиб против часовой стрелки со сплошной заливкой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81083" y="328084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</xdr:colOff>
          <xdr:row>0</xdr:row>
          <xdr:rowOff>50800</xdr:rowOff>
        </xdr:from>
        <xdr:to>
          <xdr:col>8</xdr:col>
          <xdr:colOff>533400</xdr:colOff>
          <xdr:row>4</xdr:row>
          <xdr:rowOff>146050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117475</xdr:colOff>
      <xdr:row>11</xdr:row>
      <xdr:rowOff>117475</xdr:rowOff>
    </xdr:from>
    <xdr:to>
      <xdr:col>10</xdr:col>
      <xdr:colOff>288925</xdr:colOff>
      <xdr:row>29</xdr:row>
      <xdr:rowOff>3175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10</xdr:col>
          <xdr:colOff>152400</xdr:colOff>
          <xdr:row>4</xdr:row>
          <xdr:rowOff>57150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412750</xdr:colOff>
          <xdr:row>0</xdr:row>
          <xdr:rowOff>152400</xdr:rowOff>
        </xdr:from>
        <xdr:to>
          <xdr:col>8</xdr:col>
          <xdr:colOff>431800</xdr:colOff>
          <xdr:row>12</xdr:row>
          <xdr:rowOff>50800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1733550</xdr:colOff>
          <xdr:row>20</xdr:row>
          <xdr:rowOff>31750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Word_97_-_2003_Document.doc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1.doc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Microsoft_Word_97_-_2003_Document2.doc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Microsoft_Word_97_-_2003_Document3.doc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28"/>
  <sheetViews>
    <sheetView workbookViewId="0">
      <selection activeCell="E4" sqref="E4"/>
    </sheetView>
  </sheetViews>
  <sheetFormatPr defaultRowHeight="12.5" x14ac:dyDescent="0.25"/>
  <cols>
    <col min="3" max="3" width="8.54296875" customWidth="1"/>
    <col min="4" max="4" width="7.7265625" customWidth="1"/>
    <col min="5" max="5" width="31" customWidth="1"/>
    <col min="6" max="7" width="8.54296875" customWidth="1"/>
    <col min="8" max="8" width="16" bestFit="1" customWidth="1"/>
    <col min="9" max="9" width="16.81640625" bestFit="1" customWidth="1"/>
    <col min="10" max="10" width="10.54296875" customWidth="1"/>
    <col min="11" max="11" width="15.54296875" bestFit="1" customWidth="1"/>
  </cols>
  <sheetData>
    <row r="1" spans="1:5" ht="13" thickBot="1" x14ac:dyDescent="0.3"/>
    <row r="2" spans="1:5" x14ac:dyDescent="0.25">
      <c r="A2" s="15" t="s">
        <v>7</v>
      </c>
      <c r="B2" s="16" t="s">
        <v>0</v>
      </c>
      <c r="C2" s="16" t="s">
        <v>1</v>
      </c>
      <c r="D2" s="16" t="s">
        <v>2</v>
      </c>
      <c r="E2" s="17" t="s">
        <v>8</v>
      </c>
    </row>
    <row r="3" spans="1:5" x14ac:dyDescent="0.25">
      <c r="A3" s="99">
        <v>0</v>
      </c>
      <c r="B3" s="22">
        <v>0</v>
      </c>
      <c r="C3" s="22">
        <v>0</v>
      </c>
      <c r="D3" s="22">
        <v>0</v>
      </c>
      <c r="E3" s="21" t="s">
        <v>37</v>
      </c>
    </row>
    <row r="4" spans="1:5" x14ac:dyDescent="0.25">
      <c r="A4" s="18">
        <v>1</v>
      </c>
      <c r="B4" s="1">
        <v>-2</v>
      </c>
      <c r="C4" s="1">
        <v>6</v>
      </c>
      <c r="D4" s="1">
        <v>27.5</v>
      </c>
      <c r="E4" s="5" t="s">
        <v>9</v>
      </c>
    </row>
    <row r="5" spans="1:5" x14ac:dyDescent="0.25">
      <c r="A5" s="18">
        <v>2</v>
      </c>
      <c r="B5" s="1">
        <v>3</v>
      </c>
      <c r="C5" s="1">
        <v>8.1</v>
      </c>
      <c r="D5" s="1">
        <v>-18.899999999999999</v>
      </c>
      <c r="E5" s="5" t="s">
        <v>10</v>
      </c>
    </row>
    <row r="6" spans="1:5" x14ac:dyDescent="0.25">
      <c r="A6" s="18">
        <v>3</v>
      </c>
      <c r="B6" s="1">
        <v>4</v>
      </c>
      <c r="C6" s="1">
        <v>8.8000000000000007</v>
      </c>
      <c r="D6" s="1">
        <v>-16.32</v>
      </c>
      <c r="E6" s="5" t="s">
        <v>9</v>
      </c>
    </row>
    <row r="7" spans="1:5" x14ac:dyDescent="0.25">
      <c r="A7" s="18">
        <v>4</v>
      </c>
      <c r="B7" s="1">
        <v>-4</v>
      </c>
      <c r="C7" s="1">
        <v>8.8000000000000007</v>
      </c>
      <c r="D7" s="1">
        <v>14.52</v>
      </c>
      <c r="E7" s="5" t="s">
        <v>10</v>
      </c>
    </row>
    <row r="8" spans="1:5" x14ac:dyDescent="0.25">
      <c r="A8" s="18">
        <v>5</v>
      </c>
      <c r="B8" s="1">
        <v>-3</v>
      </c>
      <c r="C8" s="1">
        <v>-5.0999999999999996</v>
      </c>
      <c r="D8" s="1">
        <v>52.02</v>
      </c>
      <c r="E8" s="5" t="s">
        <v>9</v>
      </c>
    </row>
    <row r="9" spans="1:5" x14ac:dyDescent="0.25">
      <c r="A9" s="18">
        <v>6</v>
      </c>
      <c r="B9" s="1">
        <v>3</v>
      </c>
      <c r="C9" s="1">
        <v>-3.6</v>
      </c>
      <c r="D9" s="1">
        <v>-29.64</v>
      </c>
      <c r="E9" s="5" t="s">
        <v>10</v>
      </c>
    </row>
    <row r="10" spans="1:5" x14ac:dyDescent="0.25">
      <c r="A10" s="18">
        <v>7</v>
      </c>
      <c r="B10" s="1">
        <v>2</v>
      </c>
      <c r="C10" s="1">
        <v>2.4</v>
      </c>
      <c r="D10" s="1">
        <v>-23.78</v>
      </c>
      <c r="E10" s="5" t="s">
        <v>9</v>
      </c>
    </row>
    <row r="11" spans="1:5" x14ac:dyDescent="0.25">
      <c r="A11" s="18">
        <v>8</v>
      </c>
      <c r="B11" s="1">
        <v>1</v>
      </c>
      <c r="C11" s="1">
        <v>-1.3</v>
      </c>
      <c r="D11" s="1">
        <v>-14.4</v>
      </c>
      <c r="E11" s="5" t="s">
        <v>10</v>
      </c>
    </row>
    <row r="12" spans="1:5" x14ac:dyDescent="0.25">
      <c r="A12" s="18">
        <v>9</v>
      </c>
      <c r="B12" s="1">
        <v>-2</v>
      </c>
      <c r="C12" s="1">
        <v>8.8000000000000007</v>
      </c>
      <c r="D12" s="1">
        <v>14.82</v>
      </c>
      <c r="E12" s="5" t="s">
        <v>9</v>
      </c>
    </row>
    <row r="13" spans="1:5" x14ac:dyDescent="0.25">
      <c r="A13" s="18">
        <v>10</v>
      </c>
      <c r="B13" s="1">
        <v>4</v>
      </c>
      <c r="C13" s="1">
        <v>5.2</v>
      </c>
      <c r="D13" s="1">
        <v>-10.56</v>
      </c>
      <c r="E13" s="5" t="s">
        <v>10</v>
      </c>
    </row>
    <row r="14" spans="1:5" x14ac:dyDescent="0.25">
      <c r="A14" s="18">
        <v>11</v>
      </c>
      <c r="B14" s="1">
        <v>-2</v>
      </c>
      <c r="C14" s="1">
        <v>-0.8</v>
      </c>
      <c r="D14" s="1">
        <v>51.94</v>
      </c>
      <c r="E14" s="5" t="s">
        <v>9</v>
      </c>
    </row>
    <row r="15" spans="1:5" x14ac:dyDescent="0.25">
      <c r="A15" s="18">
        <v>12</v>
      </c>
      <c r="B15" s="1">
        <v>-1</v>
      </c>
      <c r="C15" s="1">
        <v>0.7</v>
      </c>
      <c r="D15" s="1">
        <v>24.38</v>
      </c>
      <c r="E15" s="5" t="s">
        <v>10</v>
      </c>
    </row>
    <row r="16" spans="1:5" x14ac:dyDescent="0.25">
      <c r="A16" s="18">
        <v>13</v>
      </c>
      <c r="B16" s="1">
        <v>-3</v>
      </c>
      <c r="C16" s="1">
        <v>4.5</v>
      </c>
      <c r="D16" s="1">
        <v>57.72</v>
      </c>
      <c r="E16" s="5" t="s">
        <v>9</v>
      </c>
    </row>
    <row r="17" spans="1:5" x14ac:dyDescent="0.25">
      <c r="A17" s="18">
        <v>14</v>
      </c>
      <c r="B17" s="1">
        <v>2</v>
      </c>
      <c r="C17" s="1">
        <v>-4.8</v>
      </c>
      <c r="D17" s="1">
        <v>-15.12</v>
      </c>
      <c r="E17" s="5" t="s">
        <v>10</v>
      </c>
    </row>
    <row r="18" spans="1:5" x14ac:dyDescent="0.25">
      <c r="A18" s="18">
        <v>15</v>
      </c>
      <c r="B18" s="1">
        <v>1</v>
      </c>
      <c r="C18" s="1">
        <v>-3.9</v>
      </c>
      <c r="D18" s="1">
        <v>-8.1</v>
      </c>
      <c r="E18" s="5" t="s">
        <v>9</v>
      </c>
    </row>
    <row r="19" spans="1:5" x14ac:dyDescent="0.25">
      <c r="A19" s="18">
        <v>16</v>
      </c>
      <c r="B19" s="1">
        <v>-5</v>
      </c>
      <c r="C19" s="1">
        <v>9.3000000000000007</v>
      </c>
      <c r="D19" s="1">
        <v>16.34</v>
      </c>
      <c r="E19" s="5" t="s">
        <v>10</v>
      </c>
    </row>
    <row r="20" spans="1:5" x14ac:dyDescent="0.25">
      <c r="A20" s="18">
        <v>17</v>
      </c>
      <c r="B20" s="1">
        <v>6</v>
      </c>
      <c r="C20" s="1">
        <v>-2</v>
      </c>
      <c r="D20" s="1">
        <v>-17.14</v>
      </c>
      <c r="E20" s="5" t="s">
        <v>9</v>
      </c>
    </row>
    <row r="21" spans="1:5" x14ac:dyDescent="0.25">
      <c r="A21" s="18">
        <v>18</v>
      </c>
      <c r="B21" s="1">
        <v>-1</v>
      </c>
      <c r="C21" s="1">
        <v>3</v>
      </c>
      <c r="D21" s="1">
        <v>10.3</v>
      </c>
      <c r="E21" s="5" t="s">
        <v>10</v>
      </c>
    </row>
    <row r="22" spans="1:5" x14ac:dyDescent="0.25">
      <c r="A22" s="18">
        <v>19</v>
      </c>
      <c r="B22" s="1">
        <v>3</v>
      </c>
      <c r="C22" s="1">
        <v>-4</v>
      </c>
      <c r="D22" s="1">
        <v>-16.809999999999999</v>
      </c>
      <c r="E22" s="5" t="s">
        <v>9</v>
      </c>
    </row>
    <row r="23" spans="1:5" x14ac:dyDescent="0.25">
      <c r="A23" s="18">
        <v>20</v>
      </c>
      <c r="B23" s="1">
        <v>-5</v>
      </c>
      <c r="C23" s="1">
        <v>2</v>
      </c>
      <c r="D23" s="1">
        <v>18.32</v>
      </c>
      <c r="E23" s="5" t="s">
        <v>10</v>
      </c>
    </row>
    <row r="24" spans="1:5" x14ac:dyDescent="0.25">
      <c r="A24" s="18">
        <v>21</v>
      </c>
      <c r="B24" s="1">
        <v>6</v>
      </c>
      <c r="C24" s="1">
        <v>4</v>
      </c>
      <c r="D24" s="1">
        <v>-10.11</v>
      </c>
      <c r="E24" s="5" t="s">
        <v>9</v>
      </c>
    </row>
    <row r="25" spans="1:5" x14ac:dyDescent="0.25">
      <c r="A25" s="18">
        <v>22</v>
      </c>
      <c r="B25" s="1">
        <v>-3</v>
      </c>
      <c r="C25" s="1">
        <v>-6</v>
      </c>
      <c r="D25" s="1">
        <v>19.36</v>
      </c>
      <c r="E25" s="5" t="s">
        <v>10</v>
      </c>
    </row>
    <row r="26" spans="1:5" x14ac:dyDescent="0.25">
      <c r="A26" s="18">
        <v>23</v>
      </c>
      <c r="B26" s="1">
        <v>9</v>
      </c>
      <c r="C26" s="1">
        <v>1</v>
      </c>
      <c r="D26" s="1">
        <v>-0.25</v>
      </c>
      <c r="E26" s="5" t="s">
        <v>9</v>
      </c>
    </row>
    <row r="27" spans="1:5" x14ac:dyDescent="0.25">
      <c r="A27" s="18">
        <v>24</v>
      </c>
      <c r="B27" s="1">
        <v>-7</v>
      </c>
      <c r="C27" s="1">
        <v>-1</v>
      </c>
      <c r="D27" s="1">
        <v>15</v>
      </c>
      <c r="E27" s="5" t="s">
        <v>10</v>
      </c>
    </row>
    <row r="28" spans="1:5" ht="13" thickBot="1" x14ac:dyDescent="0.3">
      <c r="A28" s="19">
        <v>25</v>
      </c>
      <c r="B28" s="20">
        <v>2.2000000000000002</v>
      </c>
      <c r="C28" s="20">
        <v>-4</v>
      </c>
      <c r="D28" s="20">
        <v>-8</v>
      </c>
      <c r="E28" s="3" t="s">
        <v>9</v>
      </c>
    </row>
  </sheetData>
  <phoneticPr fontId="2" type="noConversion"/>
  <pageMargins left="0.75" right="0.75" top="1" bottom="1" header="0.5" footer="0.5"/>
  <pageSetup paperSize="9" orientation="portrait" horizontalDpi="120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9DC49-9C42-4A3D-A254-E631C8462FAD}">
  <sheetPr codeName="Лист12">
    <outlinePr summaryBelow="0"/>
  </sheetPr>
  <dimension ref="B1:I16"/>
  <sheetViews>
    <sheetView showGridLines="0" workbookViewId="0"/>
  </sheetViews>
  <sheetFormatPr defaultRowHeight="12.5" outlineLevelRow="1" outlineLevelCol="1" x14ac:dyDescent="0.25"/>
  <cols>
    <col min="3" max="3" width="25.36328125" bestFit="1" customWidth="1"/>
    <col min="4" max="9" width="15.54296875" bestFit="1" customWidth="1" outlineLevel="1"/>
  </cols>
  <sheetData>
    <row r="1" spans="2:9" ht="13" thickBot="1" x14ac:dyDescent="0.3"/>
    <row r="2" spans="2:9" ht="14" x14ac:dyDescent="0.3">
      <c r="B2" s="224" t="s">
        <v>136</v>
      </c>
      <c r="C2" s="224"/>
      <c r="D2" s="229"/>
      <c r="E2" s="229"/>
      <c r="F2" s="229"/>
      <c r="G2" s="229"/>
      <c r="H2" s="229"/>
      <c r="I2" s="229"/>
    </row>
    <row r="3" spans="2:9" ht="14" collapsed="1" x14ac:dyDescent="0.3">
      <c r="B3" s="223"/>
      <c r="C3" s="223"/>
      <c r="D3" s="230" t="s">
        <v>138</v>
      </c>
      <c r="E3" s="230" t="s">
        <v>128</v>
      </c>
      <c r="F3" s="230" t="s">
        <v>130</v>
      </c>
      <c r="G3" s="230" t="s">
        <v>131</v>
      </c>
      <c r="H3" s="230" t="s">
        <v>133</v>
      </c>
      <c r="I3" s="230" t="s">
        <v>134</v>
      </c>
    </row>
    <row r="4" spans="2:9" ht="50" hidden="1" outlineLevel="1" x14ac:dyDescent="0.3">
      <c r="B4" s="226"/>
      <c r="C4" s="226"/>
      <c r="D4" s="217"/>
      <c r="E4" s="234" t="s">
        <v>129</v>
      </c>
      <c r="F4" s="234" t="s">
        <v>129</v>
      </c>
      <c r="G4" s="234" t="s">
        <v>132</v>
      </c>
      <c r="H4" s="234" t="s">
        <v>132</v>
      </c>
      <c r="I4" s="234" t="s">
        <v>135</v>
      </c>
    </row>
    <row r="5" spans="2:9" ht="13" x14ac:dyDescent="0.3">
      <c r="B5" s="227" t="s">
        <v>137</v>
      </c>
      <c r="C5" s="227"/>
      <c r="D5" s="225"/>
      <c r="E5" s="225"/>
      <c r="F5" s="225"/>
      <c r="G5" s="225"/>
      <c r="H5" s="225"/>
      <c r="I5" s="225"/>
    </row>
    <row r="6" spans="2:9" ht="13" outlineLevel="1" x14ac:dyDescent="0.3">
      <c r="B6" s="226"/>
      <c r="C6" s="226" t="s">
        <v>47</v>
      </c>
      <c r="D6" s="218">
        <v>260000</v>
      </c>
      <c r="E6" s="231">
        <v>210000</v>
      </c>
      <c r="F6" s="231">
        <v>250000</v>
      </c>
      <c r="G6" s="231">
        <v>198500</v>
      </c>
      <c r="H6" s="218">
        <v>260000</v>
      </c>
      <c r="I6" s="218">
        <v>260000</v>
      </c>
    </row>
    <row r="7" spans="2:9" ht="13" outlineLevel="1" x14ac:dyDescent="0.3">
      <c r="B7" s="226"/>
      <c r="C7" s="226" t="s">
        <v>122</v>
      </c>
      <c r="D7" s="219">
        <v>0.2</v>
      </c>
      <c r="E7" s="219">
        <v>0.2</v>
      </c>
      <c r="F7" s="219">
        <v>0.2</v>
      </c>
      <c r="G7" s="219">
        <v>0.2</v>
      </c>
      <c r="H7" s="232">
        <v>0.25</v>
      </c>
      <c r="I7" s="219">
        <v>0.2</v>
      </c>
    </row>
    <row r="8" spans="2:9" ht="13" outlineLevel="1" x14ac:dyDescent="0.3">
      <c r="B8" s="226"/>
      <c r="C8" s="226" t="s">
        <v>123</v>
      </c>
      <c r="D8" s="217">
        <v>360</v>
      </c>
      <c r="E8" s="217">
        <v>360</v>
      </c>
      <c r="F8" s="217">
        <v>360</v>
      </c>
      <c r="G8" s="217">
        <v>360</v>
      </c>
      <c r="H8" s="217">
        <v>360</v>
      </c>
      <c r="I8" s="233">
        <v>480</v>
      </c>
    </row>
    <row r="9" spans="2:9" ht="13" x14ac:dyDescent="0.3">
      <c r="B9" s="227" t="s">
        <v>139</v>
      </c>
      <c r="C9" s="227"/>
      <c r="D9" s="225"/>
      <c r="E9" s="225"/>
      <c r="F9" s="225"/>
      <c r="G9" s="225"/>
      <c r="H9" s="225"/>
      <c r="I9" s="225"/>
    </row>
    <row r="10" spans="2:9" ht="13" outlineLevel="1" x14ac:dyDescent="0.3">
      <c r="B10" s="226"/>
      <c r="C10" s="226" t="s">
        <v>124</v>
      </c>
      <c r="D10" s="217">
        <v>208000</v>
      </c>
      <c r="E10" s="217">
        <v>168000</v>
      </c>
      <c r="F10" s="217">
        <v>200000</v>
      </c>
      <c r="G10" s="217">
        <v>158800</v>
      </c>
      <c r="H10" s="217">
        <v>195000</v>
      </c>
      <c r="I10" s="217">
        <v>208000</v>
      </c>
    </row>
    <row r="11" spans="2:9" ht="13" outlineLevel="1" x14ac:dyDescent="0.3">
      <c r="B11" s="226"/>
      <c r="C11" s="226" t="s">
        <v>125</v>
      </c>
      <c r="D11" s="220">
        <v>1526.2303136691</v>
      </c>
      <c r="E11" s="220">
        <v>1232.7244841173499</v>
      </c>
      <c r="F11" s="220">
        <v>1467.52914775875</v>
      </c>
      <c r="G11" s="220">
        <v>1165.2181433204501</v>
      </c>
      <c r="H11" s="220">
        <v>1430.8409190647801</v>
      </c>
      <c r="I11" s="220">
        <v>1446.2483147314399</v>
      </c>
    </row>
    <row r="12" spans="2:9" ht="13" outlineLevel="1" x14ac:dyDescent="0.3">
      <c r="B12" s="226"/>
      <c r="C12" s="226" t="s">
        <v>126</v>
      </c>
      <c r="D12" s="221">
        <v>549442.91292087699</v>
      </c>
      <c r="E12" s="221">
        <v>443780.81428224698</v>
      </c>
      <c r="F12" s="221">
        <v>528310.49319315096</v>
      </c>
      <c r="G12" s="221">
        <v>419478.531595362</v>
      </c>
      <c r="H12" s="221">
        <v>515102.73086332198</v>
      </c>
      <c r="I12" s="221">
        <v>694199.19107109297</v>
      </c>
    </row>
    <row r="13" spans="2:9" ht="13.5" outlineLevel="1" thickBot="1" x14ac:dyDescent="0.35">
      <c r="B13" s="228"/>
      <c r="C13" s="228" t="s">
        <v>127</v>
      </c>
      <c r="D13" s="222">
        <v>289442.91292087699</v>
      </c>
      <c r="E13" s="222">
        <v>233780.81428224701</v>
      </c>
      <c r="F13" s="222">
        <v>278310.49319315102</v>
      </c>
      <c r="G13" s="222">
        <v>220978.531595362</v>
      </c>
      <c r="H13" s="222">
        <v>255102.73086332201</v>
      </c>
      <c r="I13" s="222">
        <v>434199.19107109302</v>
      </c>
    </row>
    <row r="14" spans="2:9" x14ac:dyDescent="0.25">
      <c r="B14" t="s">
        <v>140</v>
      </c>
    </row>
    <row r="15" spans="2:9" x14ac:dyDescent="0.25">
      <c r="B15" t="s">
        <v>141</v>
      </c>
    </row>
    <row r="16" spans="2:9" x14ac:dyDescent="0.25">
      <c r="B16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C21"/>
  <sheetViews>
    <sheetView zoomScale="120" workbookViewId="0">
      <selection activeCell="C7" sqref="C7"/>
    </sheetView>
  </sheetViews>
  <sheetFormatPr defaultRowHeight="12.5" x14ac:dyDescent="0.25"/>
  <cols>
    <col min="1" max="1" width="23" customWidth="1"/>
    <col min="2" max="2" width="15.26953125" bestFit="1" customWidth="1"/>
  </cols>
  <sheetData>
    <row r="2" spans="1:3" ht="7.5" customHeight="1" thickBot="1" x14ac:dyDescent="0.3"/>
    <row r="3" spans="1:3" ht="13.5" thickBot="1" x14ac:dyDescent="0.35">
      <c r="A3" s="239" t="s">
        <v>105</v>
      </c>
      <c r="B3" s="240"/>
    </row>
    <row r="4" spans="1:3" x14ac:dyDescent="0.25">
      <c r="A4" s="206" t="s">
        <v>47</v>
      </c>
      <c r="B4" s="207">
        <v>198500</v>
      </c>
    </row>
    <row r="5" spans="1:3" x14ac:dyDescent="0.25">
      <c r="A5" s="100" t="s">
        <v>106</v>
      </c>
      <c r="B5" s="205">
        <v>0.25</v>
      </c>
    </row>
    <row r="6" spans="1:3" x14ac:dyDescent="0.25">
      <c r="A6" s="100" t="s">
        <v>107</v>
      </c>
      <c r="B6" s="100">
        <v>480</v>
      </c>
    </row>
    <row r="7" spans="1:3" x14ac:dyDescent="0.25">
      <c r="A7" s="100" t="s">
        <v>108</v>
      </c>
      <c r="B7" s="205">
        <v>0.08</v>
      </c>
    </row>
    <row r="8" spans="1:3" ht="13" thickBot="1" x14ac:dyDescent="0.3"/>
    <row r="9" spans="1:3" ht="13.5" thickBot="1" x14ac:dyDescent="0.35">
      <c r="A9" s="241" t="s">
        <v>109</v>
      </c>
      <c r="B9" s="242"/>
    </row>
    <row r="10" spans="1:3" x14ac:dyDescent="0.25">
      <c r="A10" s="206" t="s">
        <v>110</v>
      </c>
      <c r="B10" s="206">
        <f>Ціна*(1-Перший_взнос)</f>
        <v>148875</v>
      </c>
      <c r="C10" s="208" t="s">
        <v>114</v>
      </c>
    </row>
    <row r="11" spans="1:3" x14ac:dyDescent="0.25">
      <c r="A11" s="100" t="s">
        <v>111</v>
      </c>
      <c r="B11" s="215">
        <f>PMT(Процентна_ставка/12,Строк_погашення_ссуди, -Розмір_ссуди)</f>
        <v>1035.1452781521334</v>
      </c>
      <c r="C11" s="208" t="s">
        <v>115</v>
      </c>
    </row>
    <row r="12" spans="1:3" x14ac:dyDescent="0.25">
      <c r="A12" s="100" t="s">
        <v>112</v>
      </c>
      <c r="B12" s="216">
        <f>Помісячна_плата *Строк_погашення_ссуди</f>
        <v>496869.73351302405</v>
      </c>
      <c r="C12" s="208" t="s">
        <v>116</v>
      </c>
    </row>
    <row r="13" spans="1:3" x14ac:dyDescent="0.25">
      <c r="A13" s="100" t="s">
        <v>113</v>
      </c>
      <c r="B13" s="216">
        <f>Загальна_сума- Ціна</f>
        <v>298369.73351302405</v>
      </c>
      <c r="C13" s="208" t="s">
        <v>117</v>
      </c>
    </row>
    <row r="16" spans="1:3" ht="13" x14ac:dyDescent="0.3">
      <c r="A16" s="209" t="s">
        <v>118</v>
      </c>
    </row>
    <row r="17" spans="1:1" x14ac:dyDescent="0.25">
      <c r="A17" s="209"/>
    </row>
    <row r="18" spans="1:1" x14ac:dyDescent="0.25">
      <c r="A18" s="209"/>
    </row>
    <row r="19" spans="1:1" x14ac:dyDescent="0.25">
      <c r="A19" s="209"/>
    </row>
    <row r="20" spans="1:1" ht="13" x14ac:dyDescent="0.3">
      <c r="A20" s="209" t="s">
        <v>119</v>
      </c>
    </row>
    <row r="21" spans="1:1" ht="13" x14ac:dyDescent="0.3">
      <c r="A21" s="209" t="s">
        <v>120</v>
      </c>
    </row>
  </sheetData>
  <scenarios current="3" show="1" sqref="B10:B13">
    <scenario name="найкращий" locked="1" count="1" user="GOLOVA_CK_PR" comment="Автор: GOLOVA_CK_PR , 18.02.2014">
      <inputCells r="B4" val="210000" numFmtId="44"/>
    </scenario>
    <scenario name="найгірший" locked="1" count="1" user="GOLOVA_CK_PR" comment="Автор: GOLOVA_CK_PR , 18.02.2014">
      <inputCells r="B4" val="250000" numFmtId="44"/>
    </scenario>
    <scenario name="1." locked="1" count="1" user="Kolomiiets Vadym" comment="Автор: Kolomiiets Vadym , 05.11.2023">
      <inputCells r="B4" val="198500" numFmtId="165"/>
    </scenario>
    <scenario name="2." locked="1" count="1" user="Kolomiiets Vadym" comment="Автор: Kolomiiets Vadym , 05.11.2023">
      <inputCells r="B5" val="0,25" numFmtId="9"/>
    </scenario>
    <scenario name="3." locked="1" count="1" user="Kolomiiets Vadym" comment="Автор: Kolomiiets Vadym , 05.11.2023_x000a_Автор изменений: Kolomiiets Vadym , 05.11.2023">
      <inputCells r="B6" val="480"/>
    </scenario>
  </scenarios>
  <mergeCells count="2">
    <mergeCell ref="A3:B3"/>
    <mergeCell ref="A9:B9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41"/>
  <sheetViews>
    <sheetView zoomScale="108" workbookViewId="0">
      <selection activeCell="I21" sqref="I21"/>
    </sheetView>
  </sheetViews>
  <sheetFormatPr defaultRowHeight="12.5" x14ac:dyDescent="0.25"/>
  <cols>
    <col min="1" max="1" width="9.26953125" bestFit="1" customWidth="1"/>
    <col min="3" max="3" width="9.7265625" customWidth="1"/>
    <col min="4" max="4" width="12" customWidth="1"/>
    <col min="5" max="5" width="11.7265625" customWidth="1"/>
    <col min="6" max="6" width="8.453125" customWidth="1"/>
    <col min="7" max="7" width="16.26953125" customWidth="1"/>
    <col min="8" max="8" width="10.54296875" customWidth="1"/>
    <col min="9" max="9" width="9.26953125" bestFit="1" customWidth="1"/>
    <col min="10" max="10" width="3.1796875" customWidth="1"/>
    <col min="11" max="11" width="14.54296875" bestFit="1" customWidth="1"/>
    <col min="12" max="12" width="2.26953125" customWidth="1"/>
    <col min="14" max="14" width="11" customWidth="1"/>
    <col min="15" max="15" width="10.81640625" customWidth="1"/>
    <col min="16" max="16" width="12" customWidth="1"/>
    <col min="17" max="17" width="10.54296875" customWidth="1"/>
    <col min="18" max="18" width="10.1796875" customWidth="1"/>
  </cols>
  <sheetData>
    <row r="1" spans="1:12" s="210" customFormat="1" ht="23.5" thickBot="1" x14ac:dyDescent="0.55000000000000004">
      <c r="A1" s="243" t="s">
        <v>29</v>
      </c>
      <c r="B1" s="243"/>
      <c r="C1" s="243"/>
      <c r="D1" s="243"/>
      <c r="E1" s="243"/>
      <c r="F1" s="212">
        <v>2</v>
      </c>
    </row>
    <row r="3" spans="1:12" ht="13" thickBot="1" x14ac:dyDescent="0.3">
      <c r="A3" s="244" t="s">
        <v>89</v>
      </c>
      <c r="B3" s="244"/>
      <c r="C3" s="244"/>
      <c r="D3" s="244"/>
      <c r="E3" s="244"/>
      <c r="F3" s="244"/>
      <c r="G3" s="244"/>
      <c r="H3" s="244"/>
      <c r="I3" s="244"/>
    </row>
    <row r="4" spans="1:12" ht="12.75" customHeight="1" thickBot="1" x14ac:dyDescent="0.35">
      <c r="B4" s="155" t="s">
        <v>90</v>
      </c>
      <c r="C4" s="156">
        <f>VLOOKUP(F1,A28:I41,2)</f>
        <v>45000</v>
      </c>
      <c r="D4" s="157">
        <f>VLOOKUP(F1,A28:I41,3)</f>
        <v>38000</v>
      </c>
    </row>
    <row r="5" spans="1:12" ht="13" thickBot="1" x14ac:dyDescent="0.3">
      <c r="A5" s="158"/>
      <c r="C5" s="213">
        <f>PMT(A5/12,120,C4)</f>
        <v>-375</v>
      </c>
      <c r="D5" s="213">
        <f>PMT(A5/12,120,D4)</f>
        <v>-316.66666666666669</v>
      </c>
      <c r="F5" s="158"/>
      <c r="G5" s="251" t="s">
        <v>91</v>
      </c>
      <c r="H5" s="251"/>
      <c r="I5" s="251"/>
    </row>
    <row r="6" spans="1:12" ht="13" x14ac:dyDescent="0.3">
      <c r="A6" s="245" t="s">
        <v>92</v>
      </c>
      <c r="B6" s="159">
        <f>VLOOKUP(F1,A28:I41,4)</f>
        <v>0.05</v>
      </c>
      <c r="C6" s="101">
        <f t="dataTable" ref="C6:D12" dt2D="0" dtr="0" r1="A5"/>
        <v>-477.29481857583858</v>
      </c>
      <c r="D6" s="102">
        <v>-403.04895790848593</v>
      </c>
      <c r="F6" s="101"/>
      <c r="G6" s="160">
        <f>VLOOKUP($F$1,$A$28:$I$41,7)</f>
        <v>200</v>
      </c>
      <c r="H6" s="160">
        <v>240</v>
      </c>
      <c r="I6" s="161">
        <v>360</v>
      </c>
    </row>
    <row r="7" spans="1:12" ht="13.5" thickBot="1" x14ac:dyDescent="0.35">
      <c r="A7" s="246"/>
      <c r="B7" s="162">
        <f t="shared" ref="B7:B12" si="0">B6+VLOOKUP($F$1,$A$28:$I$41,6)</f>
        <v>5.4166666666666669E-2</v>
      </c>
      <c r="C7" s="103">
        <v>-486.51219759882804</v>
      </c>
      <c r="D7" s="5">
        <v>-410.83252241678809</v>
      </c>
      <c r="F7" s="214" t="e">
        <f>PMT(I10/12,F5,G10)</f>
        <v>#NUM!</v>
      </c>
      <c r="G7" s="106">
        <f t="dataTable" ref="G7:I7" dt2D="0" dtr="1" r1="F5"/>
        <v>-136.36862908135902</v>
      </c>
      <c r="H7" s="106">
        <v>-131.67895825866376</v>
      </c>
      <c r="I7" s="3">
        <v>-126.44440215650432</v>
      </c>
    </row>
    <row r="8" spans="1:12" ht="13" x14ac:dyDescent="0.3">
      <c r="A8" s="246"/>
      <c r="B8" s="162">
        <f t="shared" si="0"/>
        <v>5.8333333333333334E-2</v>
      </c>
      <c r="C8" s="103">
        <v>-495.83424908918704</v>
      </c>
      <c r="D8" s="5">
        <v>-418.70447700864679</v>
      </c>
    </row>
    <row r="9" spans="1:12" ht="13" x14ac:dyDescent="0.3">
      <c r="A9" s="246"/>
      <c r="B9" s="162">
        <f t="shared" si="0"/>
        <v>6.25E-2</v>
      </c>
      <c r="C9" s="103">
        <v>-505.26043590010556</v>
      </c>
      <c r="D9" s="5">
        <v>-426.66436809342247</v>
      </c>
      <c r="G9" s="163" t="s">
        <v>93</v>
      </c>
      <c r="I9" s="163" t="s">
        <v>92</v>
      </c>
    </row>
    <row r="10" spans="1:12" ht="13" x14ac:dyDescent="0.3">
      <c r="A10" s="246"/>
      <c r="B10" s="162">
        <f t="shared" si="0"/>
        <v>6.6666666666666666E-2</v>
      </c>
      <c r="C10" s="103">
        <v>-514.79018889516703</v>
      </c>
      <c r="D10" s="5">
        <v>-434.71171506703001</v>
      </c>
      <c r="G10" s="164">
        <v>10000</v>
      </c>
      <c r="I10" s="165">
        <v>0.15</v>
      </c>
      <c r="L10" s="166"/>
    </row>
    <row r="11" spans="1:12" ht="13" x14ac:dyDescent="0.3">
      <c r="A11" s="246"/>
      <c r="B11" s="162">
        <f t="shared" si="0"/>
        <v>7.0833333333333331E-2</v>
      </c>
      <c r="C11" s="103">
        <v>-524.42290763771416</v>
      </c>
      <c r="D11" s="5">
        <v>-442.84601089406965</v>
      </c>
      <c r="L11" s="167"/>
    </row>
    <row r="12" spans="1:12" ht="13.5" thickBot="1" x14ac:dyDescent="0.35">
      <c r="A12" s="247"/>
      <c r="B12" s="162">
        <f t="shared" si="0"/>
        <v>7.4999999999999997E-2</v>
      </c>
      <c r="C12" s="104">
        <v>-534.15796111134398</v>
      </c>
      <c r="D12" s="3">
        <v>-451.06672271624609</v>
      </c>
      <c r="K12" s="168"/>
    </row>
    <row r="13" spans="1:12" x14ac:dyDescent="0.25">
      <c r="K13" s="169"/>
    </row>
    <row r="14" spans="1:12" x14ac:dyDescent="0.25">
      <c r="K14" s="168"/>
    </row>
    <row r="15" spans="1:12" x14ac:dyDescent="0.25">
      <c r="A15" s="244" t="s">
        <v>94</v>
      </c>
      <c r="B15" s="244"/>
      <c r="C15" s="244"/>
      <c r="D15" s="244"/>
      <c r="E15" s="244"/>
      <c r="F15" s="244"/>
      <c r="G15" s="244"/>
      <c r="H15" s="244"/>
      <c r="I15" s="244"/>
      <c r="K15" s="169"/>
    </row>
    <row r="16" spans="1:12" ht="13" thickBot="1" x14ac:dyDescent="0.3">
      <c r="K16" s="168"/>
    </row>
    <row r="17" spans="1:11" ht="13.5" thickBot="1" x14ac:dyDescent="0.35">
      <c r="B17" s="158"/>
      <c r="C17" s="248" t="s">
        <v>95</v>
      </c>
      <c r="D17" s="249"/>
      <c r="E17" s="249"/>
      <c r="F17" s="250"/>
      <c r="H17" s="170" t="s">
        <v>96</v>
      </c>
      <c r="K17" s="169"/>
    </row>
    <row r="18" spans="1:11" ht="13.5" thickBot="1" x14ac:dyDescent="0.35">
      <c r="A18" s="158"/>
      <c r="B18" s="303" t="e">
        <f>PMT(A18/12,B17,H18)</f>
        <v>#NUM!</v>
      </c>
      <c r="C18" s="171">
        <v>180</v>
      </c>
      <c r="D18" s="172">
        <v>240</v>
      </c>
      <c r="E18" s="172">
        <v>300</v>
      </c>
      <c r="F18" s="173">
        <v>360</v>
      </c>
      <c r="H18" s="174">
        <v>185000</v>
      </c>
    </row>
    <row r="19" spans="1:11" ht="13" x14ac:dyDescent="0.3">
      <c r="A19" s="245" t="s">
        <v>92</v>
      </c>
      <c r="B19" s="175">
        <v>0.06</v>
      </c>
      <c r="C19" s="105">
        <f t="dataTable" ref="C19:F24" dt2D="1" dtr="1" r1="B17" r2="A18"/>
        <v>-1561.135131889635</v>
      </c>
      <c r="D19" s="105">
        <v>-1325.3974581846048</v>
      </c>
      <c r="E19" s="105">
        <v>-1191.9575927481908</v>
      </c>
      <c r="F19" s="102">
        <v>-1109.1684715325919</v>
      </c>
    </row>
    <row r="20" spans="1:11" ht="13" x14ac:dyDescent="0.3">
      <c r="A20" s="246"/>
      <c r="B20" s="176">
        <v>6.5000000000000002E-2</v>
      </c>
      <c r="C20" s="100">
        <v>-1611.548625800119</v>
      </c>
      <c r="D20" s="100">
        <v>-1379.3103007029295</v>
      </c>
      <c r="E20" s="100">
        <v>-1249.1332484931334</v>
      </c>
      <c r="F20" s="5">
        <v>-1169.3258434619831</v>
      </c>
    </row>
    <row r="21" spans="1:11" ht="13" x14ac:dyDescent="0.3">
      <c r="A21" s="246"/>
      <c r="B21" s="177">
        <v>7.0000000000000007E-2</v>
      </c>
      <c r="C21" s="100">
        <v>-1662.83230107699</v>
      </c>
      <c r="D21" s="100">
        <v>-1434.303030894918</v>
      </c>
      <c r="E21" s="100">
        <v>-1307.5415149589198</v>
      </c>
      <c r="F21" s="5">
        <v>-1230.8096160814889</v>
      </c>
    </row>
    <row r="22" spans="1:11" ht="13" x14ac:dyDescent="0.3">
      <c r="A22" s="246"/>
      <c r="B22" s="176">
        <v>7.4999999999999997E-2</v>
      </c>
      <c r="C22" s="100">
        <v>-1714.9728660050657</v>
      </c>
      <c r="D22" s="100">
        <v>-1490.3474080708434</v>
      </c>
      <c r="E22" s="100">
        <v>-1367.1336789252998</v>
      </c>
      <c r="F22" s="5">
        <v>-1293.5468408226416</v>
      </c>
    </row>
    <row r="23" spans="1:11" ht="13" x14ac:dyDescent="0.3">
      <c r="A23" s="246"/>
      <c r="B23" s="177">
        <v>0.08</v>
      </c>
      <c r="C23" s="100">
        <v>-1767.9563560111503</v>
      </c>
      <c r="D23" s="100">
        <v>-1547.4141276379062</v>
      </c>
      <c r="E23" s="100">
        <v>-1427.8600058400557</v>
      </c>
      <c r="F23" s="5">
        <v>-1357.464461676846</v>
      </c>
    </row>
    <row r="24" spans="1:11" ht="13.5" thickBot="1" x14ac:dyDescent="0.35">
      <c r="A24" s="247"/>
      <c r="B24" s="178">
        <v>8.5000000000000006E-2</v>
      </c>
      <c r="C24" s="106">
        <v>-1821.7681821623476</v>
      </c>
      <c r="D24" s="106">
        <v>-1605.4729817262378</v>
      </c>
      <c r="E24" s="106">
        <v>-1489.6701044049428</v>
      </c>
      <c r="F24" s="3">
        <v>-1422.4899446310171</v>
      </c>
    </row>
    <row r="27" spans="1:11" ht="13" thickBot="1" x14ac:dyDescent="0.3"/>
    <row r="28" spans="1:11" ht="52.5" thickBot="1" x14ac:dyDescent="0.3">
      <c r="A28" s="179" t="s">
        <v>7</v>
      </c>
      <c r="B28" s="180" t="s">
        <v>97</v>
      </c>
      <c r="C28" s="181" t="s">
        <v>98</v>
      </c>
      <c r="D28" s="182" t="s">
        <v>99</v>
      </c>
      <c r="E28" s="183" t="s">
        <v>100</v>
      </c>
      <c r="F28" s="180" t="s">
        <v>101</v>
      </c>
      <c r="G28" s="184" t="s">
        <v>102</v>
      </c>
      <c r="H28" s="181" t="s">
        <v>103</v>
      </c>
      <c r="I28" s="179" t="s">
        <v>104</v>
      </c>
    </row>
    <row r="29" spans="1:11" ht="13" x14ac:dyDescent="0.3">
      <c r="A29" s="185">
        <v>0</v>
      </c>
      <c r="B29" s="186"/>
      <c r="C29" s="187"/>
      <c r="D29" s="188"/>
      <c r="E29" s="189"/>
      <c r="F29" s="211"/>
      <c r="G29" s="22"/>
      <c r="H29" s="190"/>
      <c r="I29" s="191"/>
    </row>
    <row r="30" spans="1:11" ht="13" x14ac:dyDescent="0.3">
      <c r="A30" s="185">
        <v>1</v>
      </c>
      <c r="B30" s="186">
        <v>500000</v>
      </c>
      <c r="C30" s="187">
        <v>450000</v>
      </c>
      <c r="D30" s="188">
        <v>0.06</v>
      </c>
      <c r="E30" s="189">
        <v>0.09</v>
      </c>
      <c r="F30" s="211">
        <f>(E30-D30)/6</f>
        <v>5.0000000000000001E-3</v>
      </c>
      <c r="G30" s="22">
        <v>180</v>
      </c>
      <c r="H30" s="190">
        <v>360</v>
      </c>
      <c r="I30" s="191">
        <v>60</v>
      </c>
    </row>
    <row r="31" spans="1:11" ht="13" x14ac:dyDescent="0.3">
      <c r="A31" s="192">
        <v>2</v>
      </c>
      <c r="B31" s="193">
        <v>45000</v>
      </c>
      <c r="C31" s="194">
        <v>38000</v>
      </c>
      <c r="D31" s="195">
        <v>0.05</v>
      </c>
      <c r="E31" s="196">
        <v>7.4999999999999997E-2</v>
      </c>
      <c r="F31" s="211">
        <f t="shared" ref="F31:F41" si="1">(E31-D31)/6</f>
        <v>4.1666666666666657E-3</v>
      </c>
      <c r="G31" s="1">
        <v>200</v>
      </c>
      <c r="H31" s="197">
        <f t="shared" ref="H31:H41" si="2">G31+I31*3</f>
        <v>350</v>
      </c>
      <c r="I31" s="198">
        <v>50</v>
      </c>
    </row>
    <row r="32" spans="1:11" ht="13" x14ac:dyDescent="0.3">
      <c r="A32" s="192">
        <v>3</v>
      </c>
      <c r="B32" s="193">
        <v>220000</v>
      </c>
      <c r="C32" s="194">
        <v>250000</v>
      </c>
      <c r="D32" s="195">
        <v>0.09</v>
      </c>
      <c r="E32" s="196">
        <v>0.15</v>
      </c>
      <c r="F32" s="211">
        <f t="shared" si="1"/>
        <v>0.01</v>
      </c>
      <c r="G32" s="1">
        <v>220</v>
      </c>
      <c r="H32" s="197">
        <f t="shared" si="2"/>
        <v>430</v>
      </c>
      <c r="I32" s="198">
        <v>70</v>
      </c>
    </row>
    <row r="33" spans="1:9" ht="13" x14ac:dyDescent="0.3">
      <c r="A33" s="192">
        <v>4</v>
      </c>
      <c r="B33" s="193">
        <v>150000</v>
      </c>
      <c r="C33" s="194">
        <v>120000</v>
      </c>
      <c r="D33" s="195">
        <v>0.04</v>
      </c>
      <c r="E33" s="196">
        <v>5.5E-2</v>
      </c>
      <c r="F33" s="211">
        <f t="shared" si="1"/>
        <v>2.5000000000000001E-3</v>
      </c>
      <c r="G33" s="1">
        <v>160</v>
      </c>
      <c r="H33" s="197">
        <f t="shared" si="2"/>
        <v>310</v>
      </c>
      <c r="I33" s="198">
        <v>50</v>
      </c>
    </row>
    <row r="34" spans="1:9" ht="13" x14ac:dyDescent="0.3">
      <c r="A34" s="192">
        <v>5</v>
      </c>
      <c r="B34" s="193">
        <v>12000</v>
      </c>
      <c r="C34" s="194">
        <v>9000</v>
      </c>
      <c r="D34" s="195">
        <v>0.03</v>
      </c>
      <c r="E34" s="196">
        <v>7.4999999999999997E-2</v>
      </c>
      <c r="F34" s="211">
        <f t="shared" si="1"/>
        <v>7.4999999999999997E-3</v>
      </c>
      <c r="G34" s="1">
        <v>150</v>
      </c>
      <c r="H34" s="197">
        <f t="shared" si="2"/>
        <v>240</v>
      </c>
      <c r="I34" s="198">
        <v>30</v>
      </c>
    </row>
    <row r="35" spans="1:9" ht="13" x14ac:dyDescent="0.3">
      <c r="A35" s="192">
        <v>6</v>
      </c>
      <c r="B35" s="193">
        <v>800000</v>
      </c>
      <c r="C35" s="194">
        <v>700000</v>
      </c>
      <c r="D35" s="195">
        <v>4.2000000000000003E-2</v>
      </c>
      <c r="E35" s="196">
        <v>0.05</v>
      </c>
      <c r="F35" s="211">
        <f t="shared" si="1"/>
        <v>1.3333333333333333E-3</v>
      </c>
      <c r="G35" s="1">
        <v>120</v>
      </c>
      <c r="H35" s="197">
        <f t="shared" si="2"/>
        <v>240</v>
      </c>
      <c r="I35" s="198">
        <v>40</v>
      </c>
    </row>
    <row r="36" spans="1:9" ht="13" x14ac:dyDescent="0.3">
      <c r="A36" s="192">
        <v>7</v>
      </c>
      <c r="B36" s="193">
        <v>600000</v>
      </c>
      <c r="C36" s="194">
        <v>650000</v>
      </c>
      <c r="D36" s="195">
        <v>0.03</v>
      </c>
      <c r="E36" s="196">
        <v>0.06</v>
      </c>
      <c r="F36" s="211">
        <f t="shared" si="1"/>
        <v>5.0000000000000001E-3</v>
      </c>
      <c r="G36" s="1">
        <v>230</v>
      </c>
      <c r="H36" s="197">
        <f t="shared" si="2"/>
        <v>395</v>
      </c>
      <c r="I36" s="198">
        <v>55</v>
      </c>
    </row>
    <row r="37" spans="1:9" ht="13" x14ac:dyDescent="0.3">
      <c r="A37" s="192">
        <v>8</v>
      </c>
      <c r="B37" s="193">
        <v>35000</v>
      </c>
      <c r="C37" s="194">
        <v>40000</v>
      </c>
      <c r="D37" s="195">
        <v>5.5E-2</v>
      </c>
      <c r="E37" s="196">
        <v>7.0000000000000007E-2</v>
      </c>
      <c r="F37" s="211">
        <f t="shared" si="1"/>
        <v>2.5000000000000009E-3</v>
      </c>
      <c r="G37" s="1">
        <v>210</v>
      </c>
      <c r="H37" s="197">
        <f t="shared" si="2"/>
        <v>420</v>
      </c>
      <c r="I37" s="198">
        <v>70</v>
      </c>
    </row>
    <row r="38" spans="1:9" ht="13" x14ac:dyDescent="0.3">
      <c r="A38" s="192">
        <v>9</v>
      </c>
      <c r="B38" s="193">
        <v>25000</v>
      </c>
      <c r="C38" s="194">
        <v>20000</v>
      </c>
      <c r="D38" s="195">
        <v>0.06</v>
      </c>
      <c r="E38" s="196">
        <v>7.4999999999999997E-2</v>
      </c>
      <c r="F38" s="211">
        <f t="shared" si="1"/>
        <v>2.5000000000000001E-3</v>
      </c>
      <c r="G38" s="1">
        <v>170</v>
      </c>
      <c r="H38" s="197">
        <f t="shared" si="2"/>
        <v>365</v>
      </c>
      <c r="I38" s="198">
        <v>65</v>
      </c>
    </row>
    <row r="39" spans="1:9" ht="13" x14ac:dyDescent="0.3">
      <c r="A39" s="192">
        <v>10</v>
      </c>
      <c r="B39" s="193">
        <v>180000</v>
      </c>
      <c r="C39" s="194">
        <v>160000</v>
      </c>
      <c r="D39" s="195">
        <v>0.04</v>
      </c>
      <c r="E39" s="196">
        <v>7.0000000000000007E-2</v>
      </c>
      <c r="F39" s="211">
        <f t="shared" si="1"/>
        <v>5.000000000000001E-3</v>
      </c>
      <c r="G39" s="1">
        <v>190</v>
      </c>
      <c r="H39" s="197">
        <f t="shared" si="2"/>
        <v>415</v>
      </c>
      <c r="I39" s="198">
        <v>75</v>
      </c>
    </row>
    <row r="40" spans="1:9" ht="13.5" thickBot="1" x14ac:dyDescent="0.35">
      <c r="A40" s="192">
        <v>11</v>
      </c>
      <c r="B40" s="193">
        <v>260000</v>
      </c>
      <c r="C40" s="194">
        <v>240000</v>
      </c>
      <c r="D40" s="195">
        <v>0.06</v>
      </c>
      <c r="E40" s="196">
        <v>0.08</v>
      </c>
      <c r="F40" s="211">
        <f t="shared" si="1"/>
        <v>3.333333333333334E-3</v>
      </c>
      <c r="G40" s="1">
        <v>240</v>
      </c>
      <c r="H40" s="197">
        <f t="shared" si="2"/>
        <v>375</v>
      </c>
      <c r="I40" s="199">
        <v>45</v>
      </c>
    </row>
    <row r="41" spans="1:9" ht="13.5" thickBot="1" x14ac:dyDescent="0.35">
      <c r="A41" s="200">
        <v>12</v>
      </c>
      <c r="B41" s="201">
        <v>55000</v>
      </c>
      <c r="C41" s="202">
        <v>50000</v>
      </c>
      <c r="D41" s="203">
        <v>0.02</v>
      </c>
      <c r="E41" s="204">
        <v>7.0000000000000007E-2</v>
      </c>
      <c r="F41" s="211">
        <f t="shared" si="1"/>
        <v>8.3333333333333332E-3</v>
      </c>
      <c r="G41" s="20">
        <v>250</v>
      </c>
      <c r="H41" s="20">
        <f t="shared" si="2"/>
        <v>355</v>
      </c>
      <c r="I41" s="116">
        <v>35</v>
      </c>
    </row>
  </sheetData>
  <mergeCells count="7">
    <mergeCell ref="A1:E1"/>
    <mergeCell ref="A3:I3"/>
    <mergeCell ref="A19:A24"/>
    <mergeCell ref="C17:F17"/>
    <mergeCell ref="A6:A12"/>
    <mergeCell ref="A15:I15"/>
    <mergeCell ref="G5:I5"/>
  </mergeCells>
  <phoneticPr fontId="0" type="noConversion"/>
  <dataValidations count="1">
    <dataValidation type="whole" allowBlank="1" showInputMessage="1" showErrorMessage="1" sqref="F1" xr:uid="{00000000-0002-0000-0200-000000000000}">
      <formula1>0</formula1>
      <formula2>12</formula2>
    </dataValidation>
  </dataValidations>
  <pageMargins left="0.49" right="0.35433070866141736" top="0.98425196850393704" bottom="0.98425196850393704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7:K31"/>
  <sheetViews>
    <sheetView workbookViewId="0">
      <selection activeCell="M21" sqref="M21"/>
    </sheetView>
  </sheetViews>
  <sheetFormatPr defaultColWidth="9.1796875" defaultRowHeight="12.5" x14ac:dyDescent="0.25"/>
  <cols>
    <col min="1" max="1" width="2.54296875" style="69" customWidth="1"/>
    <col min="2" max="2" width="19.54296875" style="69" customWidth="1"/>
    <col min="3" max="7" width="9.1796875" style="69"/>
    <col min="8" max="8" width="20.1796875" style="69" customWidth="1"/>
    <col min="9" max="9" width="9.1796875" style="69"/>
    <col min="10" max="10" width="15.26953125" style="69" customWidth="1"/>
    <col min="11" max="11" width="14.54296875" style="69" customWidth="1"/>
    <col min="12" max="16384" width="9.1796875" style="69"/>
  </cols>
  <sheetData>
    <row r="7" spans="2:11" ht="13.5" thickBot="1" x14ac:dyDescent="0.35">
      <c r="J7" s="256" t="str">
        <f>VLOOKUP(B10,варіанти!A2:E28,5)</f>
        <v>Найменше значення функції</v>
      </c>
      <c r="K7" s="256"/>
    </row>
    <row r="8" spans="2:11" ht="13.5" thickBot="1" x14ac:dyDescent="0.35">
      <c r="F8" s="252" t="s">
        <v>25</v>
      </c>
      <c r="G8" s="253"/>
      <c r="H8" s="253"/>
      <c r="I8" s="253"/>
      <c r="J8" s="254" t="s">
        <v>28</v>
      </c>
      <c r="K8" s="255"/>
    </row>
    <row r="9" spans="2:11" ht="13" x14ac:dyDescent="0.3">
      <c r="B9" s="90" t="s">
        <v>29</v>
      </c>
      <c r="C9" s="83" t="s">
        <v>0</v>
      </c>
      <c r="D9" s="83" t="s">
        <v>1</v>
      </c>
      <c r="E9" s="91" t="s">
        <v>2</v>
      </c>
      <c r="F9" s="92" t="s">
        <v>3</v>
      </c>
      <c r="G9" s="93" t="s">
        <v>4</v>
      </c>
      <c r="H9" s="93" t="s">
        <v>5</v>
      </c>
      <c r="I9" s="94" t="s">
        <v>6</v>
      </c>
      <c r="J9" s="95" t="s">
        <v>26</v>
      </c>
      <c r="K9" s="96" t="s">
        <v>27</v>
      </c>
    </row>
    <row r="10" spans="2:11" ht="13" thickBot="1" x14ac:dyDescent="0.3">
      <c r="B10" s="83">
        <v>14</v>
      </c>
      <c r="C10" s="97">
        <f>VLOOKUP(B10,варіанти!A2:D28,2)</f>
        <v>2</v>
      </c>
      <c r="D10" s="97">
        <f>VLOOKUP(B10,варіанти!A2:D28,3)</f>
        <v>-4.8</v>
      </c>
      <c r="E10" s="98">
        <f>VLOOKUP(B10,варіанти!A2:D28,4)</f>
        <v>-15.12</v>
      </c>
      <c r="F10" s="84">
        <v>-1.7999998180275094</v>
      </c>
      <c r="G10" s="85">
        <v>4.2000000001888322</v>
      </c>
      <c r="H10" s="86">
        <f>C10*F10*F10+D10*F10+E10</f>
        <v>-2.1836698191890491E-6</v>
      </c>
      <c r="I10" s="87">
        <f>C10*G10*G10+D10*G10+E10</f>
        <v>2.2659900622556961E-9</v>
      </c>
      <c r="J10" s="88">
        <v>1.1999999829101564</v>
      </c>
      <c r="K10" s="89">
        <f>C10*J10*J10+D10*J10+E10</f>
        <v>-18</v>
      </c>
    </row>
    <row r="14" spans="2:11" x14ac:dyDescent="0.25">
      <c r="B14" s="69" t="s">
        <v>26</v>
      </c>
      <c r="C14" s="69" t="s">
        <v>27</v>
      </c>
    </row>
    <row r="15" spans="2:11" x14ac:dyDescent="0.25">
      <c r="B15" s="69">
        <v>-2</v>
      </c>
      <c r="C15" s="69">
        <f>$C$10*B15*B15+$D$10*B15+$E$10</f>
        <v>2.4800000000000022</v>
      </c>
    </row>
    <row r="16" spans="2:11" x14ac:dyDescent="0.25">
      <c r="B16" s="69">
        <v>-1.5</v>
      </c>
      <c r="C16" s="69">
        <f>$C$10*B16*B16+$D$10*B16+$E$10</f>
        <v>-3.42</v>
      </c>
    </row>
    <row r="17" spans="2:3" x14ac:dyDescent="0.25">
      <c r="B17" s="69">
        <v>-1</v>
      </c>
      <c r="C17" s="69">
        <f t="shared" ref="C17:C21" si="0">$C$10*B17*B17+$D$10*B17+$E$10</f>
        <v>-8.32</v>
      </c>
    </row>
    <row r="18" spans="2:3" x14ac:dyDescent="0.25">
      <c r="B18" s="69">
        <v>-0.5</v>
      </c>
      <c r="C18" s="69">
        <f t="shared" si="0"/>
        <v>-12.219999999999999</v>
      </c>
    </row>
    <row r="19" spans="2:3" x14ac:dyDescent="0.25">
      <c r="B19" s="69">
        <v>0</v>
      </c>
      <c r="C19" s="69">
        <f t="shared" si="0"/>
        <v>-15.12</v>
      </c>
    </row>
    <row r="20" spans="2:3" x14ac:dyDescent="0.25">
      <c r="B20" s="69">
        <v>0.5</v>
      </c>
      <c r="C20" s="69">
        <f t="shared" si="0"/>
        <v>-17.02</v>
      </c>
    </row>
    <row r="21" spans="2:3" x14ac:dyDescent="0.25">
      <c r="B21" s="69">
        <v>1</v>
      </c>
      <c r="C21" s="69">
        <f t="shared" si="0"/>
        <v>-17.919999999999998</v>
      </c>
    </row>
    <row r="22" spans="2:3" x14ac:dyDescent="0.25">
      <c r="B22" s="69">
        <v>1.5</v>
      </c>
      <c r="C22" s="69">
        <f t="shared" ref="C22:C30" si="1">$C$10*B22*B22+$D$10*B22+$E$10</f>
        <v>-17.82</v>
      </c>
    </row>
    <row r="23" spans="2:3" x14ac:dyDescent="0.25">
      <c r="B23" s="69">
        <v>2</v>
      </c>
      <c r="C23" s="69">
        <f t="shared" si="1"/>
        <v>-16.72</v>
      </c>
    </row>
    <row r="24" spans="2:3" x14ac:dyDescent="0.25">
      <c r="B24" s="69">
        <v>2.5</v>
      </c>
      <c r="C24" s="69">
        <f t="shared" si="1"/>
        <v>-14.62</v>
      </c>
    </row>
    <row r="25" spans="2:3" x14ac:dyDescent="0.25">
      <c r="B25" s="69">
        <v>3</v>
      </c>
      <c r="C25" s="69">
        <f t="shared" si="1"/>
        <v>-11.519999999999998</v>
      </c>
    </row>
    <row r="26" spans="2:3" x14ac:dyDescent="0.25">
      <c r="B26" s="69">
        <v>3.5</v>
      </c>
      <c r="C26" s="69">
        <f t="shared" si="1"/>
        <v>-7.42</v>
      </c>
    </row>
    <row r="27" spans="2:3" x14ac:dyDescent="0.25">
      <c r="B27" s="69">
        <v>4</v>
      </c>
      <c r="C27" s="69">
        <f t="shared" si="1"/>
        <v>-2.3199999999999985</v>
      </c>
    </row>
    <row r="28" spans="2:3" x14ac:dyDescent="0.25">
      <c r="B28" s="69">
        <v>4.5</v>
      </c>
      <c r="C28" s="69">
        <f t="shared" si="1"/>
        <v>3.7800000000000029</v>
      </c>
    </row>
    <row r="29" spans="2:3" x14ac:dyDescent="0.25">
      <c r="B29" s="69">
        <v>5</v>
      </c>
      <c r="C29" s="69">
        <f t="shared" si="1"/>
        <v>10.88</v>
      </c>
    </row>
    <row r="30" spans="2:3" x14ac:dyDescent="0.25">
      <c r="B30" s="69">
        <v>5.5</v>
      </c>
      <c r="C30" s="69">
        <f t="shared" si="1"/>
        <v>18.980000000000004</v>
      </c>
    </row>
    <row r="31" spans="2:3" x14ac:dyDescent="0.25">
      <c r="B31" s="69">
        <v>6</v>
      </c>
    </row>
  </sheetData>
  <mergeCells count="3">
    <mergeCell ref="F8:I8"/>
    <mergeCell ref="J8:K8"/>
    <mergeCell ref="J7:K7"/>
  </mergeCells>
  <phoneticPr fontId="2" type="noConversion"/>
  <dataValidations count="1">
    <dataValidation type="whole" allowBlank="1" showInputMessage="1" showErrorMessage="1" errorTitle="Увага!" error="Варіант номер по списку від 1 до 25" prompt="варіант від 1 до 25" sqref="B10" xr:uid="{00000000-0002-0000-0300-000000000000}">
      <formula1>0</formula1>
      <formula2>25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3" r:id="rId4">
          <objectPr defaultSize="0" r:id="rId5">
            <anchor moveWithCells="1">
              <from>
                <xdr:col>1</xdr:col>
                <xdr:colOff>279400</xdr:colOff>
                <xdr:row>0</xdr:row>
                <xdr:rowOff>50800</xdr:rowOff>
              </from>
              <to>
                <xdr:col>8</xdr:col>
                <xdr:colOff>533400</xdr:colOff>
                <xdr:row>4</xdr:row>
                <xdr:rowOff>146050</xdr:rowOff>
              </to>
            </anchor>
          </objectPr>
        </oleObject>
      </mc:Choice>
      <mc:Fallback>
        <oleObject progId="Word.Document.8" shapeId="3073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5:O35"/>
  <sheetViews>
    <sheetView topLeftCell="A7" workbookViewId="0">
      <selection activeCell="K27" sqref="K27"/>
    </sheetView>
  </sheetViews>
  <sheetFormatPr defaultRowHeight="12.5" x14ac:dyDescent="0.25"/>
  <cols>
    <col min="2" max="2" width="2" customWidth="1"/>
    <col min="3" max="3" width="21.1796875" customWidth="1"/>
    <col min="6" max="6" width="11.81640625" customWidth="1"/>
    <col min="7" max="7" width="19.453125" customWidth="1"/>
  </cols>
  <sheetData>
    <row r="5" spans="3:14" ht="13" thickBot="1" x14ac:dyDescent="0.3"/>
    <row r="6" spans="3:14" x14ac:dyDescent="0.25">
      <c r="C6" s="261" t="s">
        <v>7</v>
      </c>
      <c r="D6" s="263" t="s">
        <v>30</v>
      </c>
      <c r="E6" s="264"/>
      <c r="F6" s="265"/>
      <c r="G6" s="266" t="s">
        <v>31</v>
      </c>
      <c r="H6" s="267"/>
      <c r="I6" s="268"/>
      <c r="J6" s="269" t="s">
        <v>32</v>
      </c>
      <c r="K6" s="270"/>
      <c r="L6" s="270"/>
      <c r="M6" s="257" t="s">
        <v>33</v>
      </c>
      <c r="N6" s="258"/>
    </row>
    <row r="7" spans="3:14" ht="13" thickBot="1" x14ac:dyDescent="0.3">
      <c r="C7" s="262"/>
      <c r="D7" s="23" t="s">
        <v>34</v>
      </c>
      <c r="E7" s="24" t="s">
        <v>35</v>
      </c>
      <c r="F7" s="25" t="s">
        <v>36</v>
      </c>
      <c r="G7" s="26" t="s">
        <v>34</v>
      </c>
      <c r="H7" s="27" t="s">
        <v>35</v>
      </c>
      <c r="I7" s="28" t="s">
        <v>36</v>
      </c>
      <c r="J7" s="29" t="s">
        <v>34</v>
      </c>
      <c r="K7" s="30" t="s">
        <v>35</v>
      </c>
      <c r="L7" s="30" t="s">
        <v>36</v>
      </c>
      <c r="M7" s="31" t="s">
        <v>34</v>
      </c>
      <c r="N7" s="32" t="s">
        <v>35</v>
      </c>
    </row>
    <row r="8" spans="3:14" ht="10.5" customHeight="1" x14ac:dyDescent="0.25">
      <c r="C8" s="33">
        <v>1</v>
      </c>
      <c r="D8" s="34">
        <v>13</v>
      </c>
      <c r="E8" s="35">
        <v>7</v>
      </c>
      <c r="F8" s="36">
        <v>361</v>
      </c>
      <c r="G8" s="37">
        <v>17</v>
      </c>
      <c r="H8" s="38">
        <v>16</v>
      </c>
      <c r="I8" s="39">
        <v>520</v>
      </c>
      <c r="J8" s="40">
        <v>4</v>
      </c>
      <c r="K8" s="41">
        <v>9</v>
      </c>
      <c r="L8" s="41">
        <v>248</v>
      </c>
      <c r="M8" s="42">
        <v>11</v>
      </c>
      <c r="N8" s="43">
        <v>8</v>
      </c>
    </row>
    <row r="9" spans="3:14" x14ac:dyDescent="0.25">
      <c r="C9" s="44">
        <v>2</v>
      </c>
      <c r="D9" s="45">
        <v>1</v>
      </c>
      <c r="E9" s="46">
        <v>1</v>
      </c>
      <c r="F9" s="47">
        <v>18</v>
      </c>
      <c r="G9" s="48">
        <v>4</v>
      </c>
      <c r="H9" s="49">
        <v>7</v>
      </c>
      <c r="I9" s="50">
        <v>93</v>
      </c>
      <c r="J9" s="51">
        <v>1</v>
      </c>
      <c r="K9" s="52">
        <v>4</v>
      </c>
      <c r="L9" s="52">
        <v>48</v>
      </c>
      <c r="M9" s="53">
        <v>24</v>
      </c>
      <c r="N9" s="54">
        <v>36</v>
      </c>
    </row>
    <row r="10" spans="3:14" x14ac:dyDescent="0.25">
      <c r="C10" s="44">
        <v>3</v>
      </c>
      <c r="D10" s="45">
        <v>3</v>
      </c>
      <c r="E10" s="46">
        <v>2</v>
      </c>
      <c r="F10" s="47">
        <v>101</v>
      </c>
      <c r="G10" s="48">
        <v>2</v>
      </c>
      <c r="H10" s="49">
        <v>3</v>
      </c>
      <c r="I10" s="50">
        <v>99</v>
      </c>
      <c r="J10" s="51">
        <v>1</v>
      </c>
      <c r="K10" s="52">
        <v>1</v>
      </c>
      <c r="L10" s="52">
        <v>37</v>
      </c>
      <c r="M10" s="53">
        <v>28</v>
      </c>
      <c r="N10" s="54">
        <v>24</v>
      </c>
    </row>
    <row r="11" spans="3:14" x14ac:dyDescent="0.25">
      <c r="C11" s="44">
        <v>4</v>
      </c>
      <c r="D11" s="45">
        <v>4</v>
      </c>
      <c r="E11" s="46">
        <v>13</v>
      </c>
      <c r="F11" s="47">
        <v>379</v>
      </c>
      <c r="G11" s="48">
        <v>5</v>
      </c>
      <c r="H11" s="49">
        <v>6</v>
      </c>
      <c r="I11" s="50">
        <v>197</v>
      </c>
      <c r="J11" s="51">
        <v>11</v>
      </c>
      <c r="K11" s="52">
        <v>5</v>
      </c>
      <c r="L11" s="52">
        <v>335</v>
      </c>
      <c r="M11" s="53">
        <v>25</v>
      </c>
      <c r="N11" s="54">
        <v>12</v>
      </c>
    </row>
    <row r="12" spans="3:14" x14ac:dyDescent="0.25">
      <c r="C12" s="44">
        <v>5</v>
      </c>
      <c r="D12" s="45">
        <v>3</v>
      </c>
      <c r="E12" s="46">
        <v>1</v>
      </c>
      <c r="F12" s="47">
        <v>45</v>
      </c>
      <c r="G12" s="48">
        <v>9</v>
      </c>
      <c r="H12" s="49">
        <v>4</v>
      </c>
      <c r="I12" s="50">
        <v>144</v>
      </c>
      <c r="J12" s="51">
        <v>3</v>
      </c>
      <c r="K12" s="52">
        <v>4</v>
      </c>
      <c r="L12" s="52">
        <v>96</v>
      </c>
      <c r="M12" s="53">
        <v>9</v>
      </c>
      <c r="N12" s="54">
        <v>8</v>
      </c>
    </row>
    <row r="13" spans="3:14" x14ac:dyDescent="0.25">
      <c r="C13" s="44">
        <v>6</v>
      </c>
      <c r="D13" s="45">
        <v>14</v>
      </c>
      <c r="E13" s="46">
        <v>15</v>
      </c>
      <c r="F13" s="47">
        <v>400</v>
      </c>
      <c r="G13" s="48">
        <v>1</v>
      </c>
      <c r="H13" s="49">
        <v>2</v>
      </c>
      <c r="I13" s="50">
        <v>49</v>
      </c>
      <c r="J13" s="51">
        <v>9</v>
      </c>
      <c r="K13" s="52">
        <v>5</v>
      </c>
      <c r="L13" s="52">
        <v>220</v>
      </c>
      <c r="M13" s="53">
        <v>21</v>
      </c>
      <c r="N13" s="54">
        <v>18</v>
      </c>
    </row>
    <row r="14" spans="3:14" x14ac:dyDescent="0.25">
      <c r="C14" s="44">
        <v>7</v>
      </c>
      <c r="D14" s="45">
        <v>11</v>
      </c>
      <c r="E14" s="46">
        <v>6</v>
      </c>
      <c r="F14" s="47">
        <v>324</v>
      </c>
      <c r="G14" s="48">
        <v>1</v>
      </c>
      <c r="H14" s="49">
        <v>2</v>
      </c>
      <c r="I14" s="50">
        <v>60</v>
      </c>
      <c r="J14" s="51">
        <v>15</v>
      </c>
      <c r="K14" s="52">
        <v>14</v>
      </c>
      <c r="L14" s="52">
        <v>500</v>
      </c>
      <c r="M14" s="53">
        <v>10</v>
      </c>
      <c r="N14" s="54">
        <v>7</v>
      </c>
    </row>
    <row r="15" spans="3:14" x14ac:dyDescent="0.25">
      <c r="C15" s="44">
        <v>8</v>
      </c>
      <c r="D15" s="45">
        <v>2</v>
      </c>
      <c r="E15" s="46">
        <v>1</v>
      </c>
      <c r="F15" s="47">
        <v>48</v>
      </c>
      <c r="G15" s="48">
        <v>3</v>
      </c>
      <c r="H15" s="49">
        <v>5</v>
      </c>
      <c r="I15" s="50">
        <v>100</v>
      </c>
      <c r="J15" s="51">
        <v>4</v>
      </c>
      <c r="K15" s="52">
        <v>15</v>
      </c>
      <c r="L15" s="52">
        <v>225</v>
      </c>
      <c r="M15" s="53">
        <v>12</v>
      </c>
      <c r="N15" s="54">
        <v>9</v>
      </c>
    </row>
    <row r="16" spans="3:14" x14ac:dyDescent="0.25">
      <c r="C16" s="44">
        <v>9</v>
      </c>
      <c r="D16" s="45">
        <v>3</v>
      </c>
      <c r="E16" s="46">
        <v>8</v>
      </c>
      <c r="F16" s="47">
        <v>187</v>
      </c>
      <c r="G16" s="48">
        <v>7</v>
      </c>
      <c r="H16" s="49">
        <v>2</v>
      </c>
      <c r="I16" s="50">
        <v>143</v>
      </c>
      <c r="J16" s="51">
        <v>1</v>
      </c>
      <c r="K16" s="52">
        <v>1</v>
      </c>
      <c r="L16" s="52">
        <v>29</v>
      </c>
      <c r="M16" s="53">
        <v>10</v>
      </c>
      <c r="N16" s="54">
        <v>6</v>
      </c>
    </row>
    <row r="17" spans="3:15" x14ac:dyDescent="0.25">
      <c r="C17" s="44">
        <v>10</v>
      </c>
      <c r="D17" s="45">
        <v>2</v>
      </c>
      <c r="E17" s="46">
        <v>7</v>
      </c>
      <c r="F17" s="47">
        <v>126</v>
      </c>
      <c r="G17" s="48">
        <v>1</v>
      </c>
      <c r="H17" s="49">
        <v>1</v>
      </c>
      <c r="I17" s="50">
        <v>30</v>
      </c>
      <c r="J17" s="51">
        <v>6</v>
      </c>
      <c r="K17" s="52">
        <v>1</v>
      </c>
      <c r="L17" s="52">
        <v>120</v>
      </c>
      <c r="M17" s="53">
        <v>20</v>
      </c>
      <c r="N17" s="54">
        <v>15</v>
      </c>
    </row>
    <row r="18" spans="3:15" x14ac:dyDescent="0.25">
      <c r="C18" s="44">
        <v>11</v>
      </c>
      <c r="D18" s="45">
        <v>9</v>
      </c>
      <c r="E18" s="46">
        <v>4</v>
      </c>
      <c r="F18" s="47">
        <v>175</v>
      </c>
      <c r="G18" s="48">
        <v>3</v>
      </c>
      <c r="H18" s="49">
        <v>2</v>
      </c>
      <c r="I18" s="50">
        <v>65</v>
      </c>
      <c r="J18" s="51">
        <v>2</v>
      </c>
      <c r="K18" s="52">
        <v>2</v>
      </c>
      <c r="L18" s="52">
        <v>60</v>
      </c>
      <c r="M18" s="53">
        <v>15</v>
      </c>
      <c r="N18" s="54">
        <v>10</v>
      </c>
    </row>
    <row r="19" spans="3:15" x14ac:dyDescent="0.25">
      <c r="C19" s="44">
        <v>12</v>
      </c>
      <c r="D19" s="45">
        <v>2</v>
      </c>
      <c r="E19" s="46">
        <v>3</v>
      </c>
      <c r="F19" s="47">
        <v>80</v>
      </c>
      <c r="G19" s="48">
        <v>2</v>
      </c>
      <c r="H19" s="49">
        <v>2</v>
      </c>
      <c r="I19" s="50">
        <v>58</v>
      </c>
      <c r="J19" s="51">
        <v>3</v>
      </c>
      <c r="K19" s="52">
        <v>2</v>
      </c>
      <c r="L19" s="52">
        <v>75</v>
      </c>
      <c r="M19" s="53">
        <v>15</v>
      </c>
      <c r="N19" s="54">
        <v>12</v>
      </c>
    </row>
    <row r="20" spans="3:15" x14ac:dyDescent="0.25">
      <c r="C20" s="44">
        <v>13</v>
      </c>
      <c r="D20" s="45">
        <v>5</v>
      </c>
      <c r="E20" s="46">
        <v>2</v>
      </c>
      <c r="F20" s="47">
        <v>125</v>
      </c>
      <c r="G20" s="48">
        <v>2</v>
      </c>
      <c r="H20" s="49">
        <v>3</v>
      </c>
      <c r="I20" s="50">
        <v>83</v>
      </c>
      <c r="J20" s="51">
        <v>1</v>
      </c>
      <c r="K20" s="52">
        <v>8</v>
      </c>
      <c r="L20" s="52">
        <v>152</v>
      </c>
      <c r="M20" s="53">
        <v>12</v>
      </c>
      <c r="N20" s="54">
        <v>10</v>
      </c>
    </row>
    <row r="21" spans="3:15" x14ac:dyDescent="0.25">
      <c r="C21" s="44">
        <v>14</v>
      </c>
      <c r="D21" s="45">
        <v>3</v>
      </c>
      <c r="E21" s="46">
        <v>2</v>
      </c>
      <c r="F21" s="47">
        <v>65</v>
      </c>
      <c r="G21" s="48">
        <v>4</v>
      </c>
      <c r="H21" s="49">
        <v>1</v>
      </c>
      <c r="I21" s="50">
        <v>70</v>
      </c>
      <c r="J21" s="51">
        <v>7</v>
      </c>
      <c r="K21" s="52">
        <v>8</v>
      </c>
      <c r="L21" s="52">
        <v>235</v>
      </c>
      <c r="M21" s="53">
        <v>30</v>
      </c>
      <c r="N21" s="54">
        <v>20</v>
      </c>
    </row>
    <row r="22" spans="3:15" ht="13" thickBot="1" x14ac:dyDescent="0.3">
      <c r="C22" s="55">
        <v>15</v>
      </c>
      <c r="D22" s="56">
        <v>2</v>
      </c>
      <c r="E22" s="57">
        <v>2</v>
      </c>
      <c r="F22" s="58">
        <v>58</v>
      </c>
      <c r="G22" s="59">
        <v>7</v>
      </c>
      <c r="H22" s="60">
        <v>2</v>
      </c>
      <c r="I22" s="61">
        <v>143</v>
      </c>
      <c r="J22" s="62">
        <v>3</v>
      </c>
      <c r="K22" s="63">
        <v>8</v>
      </c>
      <c r="L22" s="63">
        <v>197</v>
      </c>
      <c r="M22" s="64">
        <v>15</v>
      </c>
      <c r="N22" s="65">
        <v>21</v>
      </c>
    </row>
    <row r="23" spans="3:15" ht="4.5" customHeight="1" x14ac:dyDescent="0.25"/>
    <row r="24" spans="3:15" ht="4.5" customHeight="1" thickBot="1" x14ac:dyDescent="0.3"/>
    <row r="25" spans="3:15" ht="26.25" customHeight="1" x14ac:dyDescent="0.25">
      <c r="C25" s="66" t="s">
        <v>29</v>
      </c>
      <c r="D25" s="277" t="s">
        <v>11</v>
      </c>
      <c r="E25" s="277"/>
      <c r="F25" s="271" t="s">
        <v>12</v>
      </c>
      <c r="G25" s="271" t="s">
        <v>23</v>
      </c>
      <c r="H25" s="274" t="s">
        <v>24</v>
      </c>
    </row>
    <row r="26" spans="3:15" ht="26.25" customHeight="1" x14ac:dyDescent="0.25">
      <c r="C26" s="259">
        <v>14</v>
      </c>
      <c r="D26" s="9" t="s">
        <v>20</v>
      </c>
      <c r="E26" s="9" t="s">
        <v>21</v>
      </c>
      <c r="F26" s="272"/>
      <c r="G26" s="272"/>
      <c r="H26" s="275"/>
    </row>
    <row r="27" spans="3:15" ht="13.5" thickBot="1" x14ac:dyDescent="0.3">
      <c r="C27" s="260"/>
      <c r="D27" s="10" t="s">
        <v>13</v>
      </c>
      <c r="E27" s="10" t="s">
        <v>14</v>
      </c>
      <c r="F27" s="273"/>
      <c r="G27" s="273"/>
      <c r="H27" s="276"/>
    </row>
    <row r="28" spans="3:15" ht="13.5" thickBot="1" x14ac:dyDescent="0.3">
      <c r="C28" s="11" t="s">
        <v>17</v>
      </c>
      <c r="D28" s="2">
        <f>VLOOKUP($C$26,$C$8:$N$22,2)</f>
        <v>3</v>
      </c>
      <c r="E28" s="2">
        <f>VLOOKUP($C$26,$C$8:$N$22,3)</f>
        <v>2</v>
      </c>
      <c r="F28" s="2">
        <f>VLOOKUP($C$26,$C$8:$N$22,4)</f>
        <v>65</v>
      </c>
      <c r="G28" s="67">
        <f>$D$32*D28+$E$32*E28</f>
        <v>65</v>
      </c>
      <c r="H28" s="68">
        <f>F28-G28</f>
        <v>0</v>
      </c>
      <c r="I28" s="69"/>
      <c r="J28" s="69"/>
      <c r="K28" s="69"/>
      <c r="L28" s="69"/>
      <c r="M28" s="69"/>
      <c r="N28" s="69"/>
      <c r="O28" s="69"/>
    </row>
    <row r="29" spans="3:15" ht="13.5" thickBot="1" x14ac:dyDescent="0.3">
      <c r="C29" s="8" t="s">
        <v>18</v>
      </c>
      <c r="D29" s="2">
        <f>VLOOKUP($C$26,$C$8:$N$22,5)</f>
        <v>4</v>
      </c>
      <c r="E29" s="2">
        <f>VLOOKUP($C$26,$C$8:$N$22,6)</f>
        <v>1</v>
      </c>
      <c r="F29" s="2">
        <f>VLOOKUP($C$26,$C$8:$N$22,7)</f>
        <v>70</v>
      </c>
      <c r="G29" s="67">
        <f t="shared" ref="G29:G30" si="0">$D$32*D29+$E$32*E29</f>
        <v>70</v>
      </c>
      <c r="H29" s="68">
        <f t="shared" ref="H29:H30" si="1">F29-G29</f>
        <v>0</v>
      </c>
      <c r="I29" s="69"/>
      <c r="J29" s="69"/>
      <c r="K29" s="69"/>
      <c r="L29" s="69"/>
      <c r="M29" s="69"/>
      <c r="N29" s="69"/>
      <c r="O29" s="69"/>
    </row>
    <row r="30" spans="3:15" ht="13.5" thickBot="1" x14ac:dyDescent="0.3">
      <c r="C30" s="12" t="s">
        <v>19</v>
      </c>
      <c r="D30" s="13">
        <f>VLOOKUP($C$26,$C$8:$N$22,8)</f>
        <v>7</v>
      </c>
      <c r="E30" s="13">
        <f>VLOOKUP($C$26,$C$8:$N$22,9)</f>
        <v>8</v>
      </c>
      <c r="F30" s="13">
        <f>VLOOKUP($C$26,$C$8:$N$22,10)</f>
        <v>235</v>
      </c>
      <c r="G30" s="67">
        <f t="shared" si="0"/>
        <v>185</v>
      </c>
      <c r="H30" s="68">
        <f t="shared" si="1"/>
        <v>50</v>
      </c>
      <c r="I30" s="69"/>
      <c r="J30" s="69"/>
      <c r="K30" s="69"/>
      <c r="L30" s="69"/>
      <c r="M30" s="69"/>
      <c r="N30" s="69"/>
      <c r="O30" s="69"/>
    </row>
    <row r="31" spans="3:15" ht="13" x14ac:dyDescent="0.25">
      <c r="C31" s="6" t="s">
        <v>15</v>
      </c>
      <c r="D31" s="7">
        <f>VLOOKUP($C$26,$C$8:$N$22,11)</f>
        <v>30</v>
      </c>
      <c r="E31" s="7">
        <f>VLOOKUP($C$26,$C$8:$N$22,12)</f>
        <v>20</v>
      </c>
      <c r="F31" s="77"/>
      <c r="G31" s="73"/>
      <c r="H31" s="74"/>
      <c r="I31" s="69"/>
      <c r="J31" s="69"/>
      <c r="K31" s="69"/>
      <c r="L31" s="69"/>
      <c r="M31" s="69"/>
      <c r="N31" s="69"/>
      <c r="O31" s="69"/>
    </row>
    <row r="32" spans="3:15" ht="13.5" thickBot="1" x14ac:dyDescent="0.3">
      <c r="C32" s="4" t="s">
        <v>22</v>
      </c>
      <c r="D32" s="78">
        <v>15</v>
      </c>
      <c r="E32" s="79">
        <v>10</v>
      </c>
      <c r="F32" s="70"/>
      <c r="G32" s="75"/>
      <c r="H32" s="71"/>
      <c r="I32" s="69"/>
      <c r="J32" s="69"/>
      <c r="K32" s="69"/>
      <c r="L32" s="69"/>
      <c r="M32" s="69"/>
      <c r="N32" s="69"/>
      <c r="O32" s="69"/>
    </row>
    <row r="33" spans="3:15" ht="16" thickBot="1" x14ac:dyDescent="0.4">
      <c r="C33" s="14" t="s">
        <v>16</v>
      </c>
      <c r="D33" s="80">
        <f>D32*D31+E32*E31</f>
        <v>650</v>
      </c>
      <c r="E33" s="81"/>
      <c r="F33" s="76"/>
      <c r="G33" s="76"/>
      <c r="H33" s="72"/>
      <c r="I33" s="69"/>
      <c r="J33" s="69"/>
      <c r="K33" s="69"/>
      <c r="L33" s="69"/>
      <c r="M33" s="69"/>
      <c r="N33" s="69"/>
      <c r="O33" s="69"/>
    </row>
    <row r="34" spans="3:15" x14ac:dyDescent="0.25">
      <c r="D34" s="82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</row>
    <row r="35" spans="3:15" x14ac:dyDescent="0.25">
      <c r="F35" s="69"/>
    </row>
  </sheetData>
  <mergeCells count="10">
    <mergeCell ref="M6:N6"/>
    <mergeCell ref="C26:C27"/>
    <mergeCell ref="C6:C7"/>
    <mergeCell ref="D6:F6"/>
    <mergeCell ref="G6:I6"/>
    <mergeCell ref="J6:L6"/>
    <mergeCell ref="F25:F27"/>
    <mergeCell ref="G25:G27"/>
    <mergeCell ref="H25:H27"/>
    <mergeCell ref="D25:E25"/>
  </mergeCells>
  <phoneticPr fontId="2" type="noConversion"/>
  <dataValidations count="1">
    <dataValidation type="whole" allowBlank="1" showInputMessage="1" showErrorMessage="1" errorTitle="Увага!" error="Значення від 1 до 15" prompt="Варіант від 1 до 15" sqref="C26:C27" xr:uid="{00000000-0002-0000-0400-000000000000}">
      <formula1>1</formula1>
      <formula2>15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2050" r:id="rId4">
          <objectPr defaultSize="0" autoPict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10</xdr:col>
                <xdr:colOff>152400</xdr:colOff>
                <xdr:row>4</xdr:row>
                <xdr:rowOff>57150</xdr:rowOff>
              </to>
            </anchor>
          </objectPr>
        </oleObject>
      </mc:Choice>
      <mc:Fallback>
        <oleObject progId="Word.Document.8" shapeId="2050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M16"/>
  <sheetViews>
    <sheetView workbookViewId="0">
      <selection activeCell="G14" sqref="G14:G15"/>
    </sheetView>
  </sheetViews>
  <sheetFormatPr defaultRowHeight="12.5" x14ac:dyDescent="0.25"/>
  <cols>
    <col min="2" max="2" width="18.26953125" customWidth="1"/>
    <col min="3" max="3" width="9.7265625" customWidth="1"/>
    <col min="4" max="4" width="19.26953125" customWidth="1"/>
    <col min="6" max="6" width="16.453125" customWidth="1"/>
  </cols>
  <sheetData>
    <row r="1" spans="1:13" ht="36" customHeight="1" x14ac:dyDescent="0.25">
      <c r="A1" s="278" t="s">
        <v>38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</row>
    <row r="3" spans="1:13" ht="13" thickBot="1" x14ac:dyDescent="0.3"/>
    <row r="4" spans="1:13" x14ac:dyDescent="0.25">
      <c r="B4" s="101" t="s">
        <v>39</v>
      </c>
      <c r="C4" s="235">
        <v>5.4</v>
      </c>
    </row>
    <row r="5" spans="1:13" x14ac:dyDescent="0.25">
      <c r="B5" s="103" t="s">
        <v>40</v>
      </c>
      <c r="C5" s="236">
        <v>5555.5555555555547</v>
      </c>
    </row>
    <row r="6" spans="1:13" ht="13" thickBot="1" x14ac:dyDescent="0.3">
      <c r="B6" s="104" t="s">
        <v>41</v>
      </c>
      <c r="C6" s="3">
        <f>C4*C5</f>
        <v>29999.999999999996</v>
      </c>
    </row>
    <row r="8" spans="1:13" ht="91.5" customHeight="1" x14ac:dyDescent="0.25">
      <c r="A8" s="279" t="s">
        <v>42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</row>
    <row r="11" spans="1:13" ht="13" thickBot="1" x14ac:dyDescent="0.3"/>
    <row r="12" spans="1:13" ht="13.5" thickBot="1" x14ac:dyDescent="0.35">
      <c r="B12" s="101"/>
      <c r="C12" s="107" t="s">
        <v>47</v>
      </c>
      <c r="D12" s="107" t="s">
        <v>40</v>
      </c>
      <c r="E12" s="112" t="s">
        <v>46</v>
      </c>
      <c r="F12" s="281" t="s">
        <v>49</v>
      </c>
      <c r="G12" s="282"/>
    </row>
    <row r="13" spans="1:13" x14ac:dyDescent="0.25">
      <c r="B13" s="103" t="s">
        <v>43</v>
      </c>
      <c r="C13" s="100">
        <v>3</v>
      </c>
      <c r="D13" s="100">
        <v>150</v>
      </c>
      <c r="E13" s="113">
        <f>C13*D13</f>
        <v>450</v>
      </c>
      <c r="F13" s="101"/>
      <c r="G13" s="102"/>
    </row>
    <row r="14" spans="1:13" x14ac:dyDescent="0.25">
      <c r="B14" s="103" t="s">
        <v>44</v>
      </c>
      <c r="C14" s="100">
        <v>4.4000000000000004</v>
      </c>
      <c r="D14" s="100">
        <v>225</v>
      </c>
      <c r="E14" s="113">
        <f t="shared" ref="E14:E15" si="0">C14*D14</f>
        <v>990.00000000000011</v>
      </c>
      <c r="F14" s="103"/>
      <c r="G14" s="283">
        <v>350</v>
      </c>
    </row>
    <row r="15" spans="1:13" ht="13" thickBot="1" x14ac:dyDescent="0.3">
      <c r="B15" s="108" t="s">
        <v>45</v>
      </c>
      <c r="C15" s="109">
        <v>5.4</v>
      </c>
      <c r="D15" s="109">
        <v>125</v>
      </c>
      <c r="E15" s="113">
        <f t="shared" si="0"/>
        <v>675</v>
      </c>
      <c r="F15" s="104">
        <v>125</v>
      </c>
      <c r="G15" s="284"/>
    </row>
    <row r="16" spans="1:13" ht="13.5" thickBot="1" x14ac:dyDescent="0.35">
      <c r="B16" s="239" t="s">
        <v>48</v>
      </c>
      <c r="C16" s="280"/>
      <c r="D16" s="111">
        <f>SUM(D13:D15)</f>
        <v>500</v>
      </c>
      <c r="E16" s="113">
        <f>E15+E14+E13</f>
        <v>2115</v>
      </c>
      <c r="F16" s="115"/>
      <c r="G16" s="115"/>
    </row>
  </sheetData>
  <mergeCells count="5">
    <mergeCell ref="A1:M1"/>
    <mergeCell ref="A8:L8"/>
    <mergeCell ref="B16:C16"/>
    <mergeCell ref="F12:G12"/>
    <mergeCell ref="G14:G15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16:H23"/>
  <sheetViews>
    <sheetView workbookViewId="0">
      <selection activeCell="F18" sqref="F18"/>
    </sheetView>
  </sheetViews>
  <sheetFormatPr defaultRowHeight="12.5" x14ac:dyDescent="0.25"/>
  <cols>
    <col min="3" max="3" width="14.81640625" bestFit="1" customWidth="1"/>
    <col min="4" max="4" width="12" customWidth="1"/>
    <col min="5" max="5" width="11.453125" customWidth="1"/>
    <col min="6" max="6" width="14.1796875" customWidth="1"/>
  </cols>
  <sheetData>
    <row r="16" ht="13" thickBot="1" x14ac:dyDescent="0.3"/>
    <row r="17" spans="2:8" ht="25" x14ac:dyDescent="0.25">
      <c r="B17" s="117"/>
      <c r="C17" s="118" t="s">
        <v>52</v>
      </c>
      <c r="D17" s="119" t="s">
        <v>54</v>
      </c>
      <c r="E17" s="119" t="s">
        <v>53</v>
      </c>
      <c r="F17" s="119" t="s">
        <v>58</v>
      </c>
      <c r="G17" s="120" t="s">
        <v>33</v>
      </c>
      <c r="H17" s="237" t="s">
        <v>143</v>
      </c>
    </row>
    <row r="18" spans="2:8" x14ac:dyDescent="0.25">
      <c r="B18" s="103" t="s">
        <v>50</v>
      </c>
      <c r="C18" s="100">
        <v>3</v>
      </c>
      <c r="D18" s="100">
        <v>80</v>
      </c>
      <c r="E18" s="100">
        <v>100</v>
      </c>
      <c r="F18" s="100">
        <f>H18*C18</f>
        <v>300</v>
      </c>
      <c r="G18" s="5">
        <f>H18*D18</f>
        <v>8000</v>
      </c>
      <c r="H18">
        <v>100</v>
      </c>
    </row>
    <row r="19" spans="2:8" ht="13" thickBot="1" x14ac:dyDescent="0.3">
      <c r="B19" s="108" t="s">
        <v>51</v>
      </c>
      <c r="C19" s="109">
        <v>2</v>
      </c>
      <c r="D19" s="109">
        <v>60</v>
      </c>
      <c r="E19" s="109">
        <v>200</v>
      </c>
      <c r="F19" s="100">
        <f>H19*C19</f>
        <v>600.00000000000011</v>
      </c>
      <c r="G19" s="5">
        <f>H19*D19</f>
        <v>18000.000000000004</v>
      </c>
      <c r="H19">
        <v>300.00000000000006</v>
      </c>
    </row>
    <row r="20" spans="2:8" ht="13.5" thickBot="1" x14ac:dyDescent="0.35">
      <c r="B20" s="285" t="s">
        <v>57</v>
      </c>
      <c r="C20" s="286"/>
      <c r="D20" s="286"/>
      <c r="E20" s="286"/>
      <c r="F20" s="121">
        <f>F19+F18</f>
        <v>900.00000000000011</v>
      </c>
    </row>
    <row r="21" spans="2:8" ht="13.5" thickBot="1" x14ac:dyDescent="0.35">
      <c r="B21" s="285" t="s">
        <v>56</v>
      </c>
      <c r="C21" s="286"/>
      <c r="D21" s="286"/>
      <c r="E21" s="286"/>
      <c r="F21" s="121">
        <v>900</v>
      </c>
    </row>
    <row r="22" spans="2:8" ht="13" thickBot="1" x14ac:dyDescent="0.3"/>
    <row r="23" spans="2:8" ht="13" thickBot="1" x14ac:dyDescent="0.3">
      <c r="E23" s="285" t="s">
        <v>55</v>
      </c>
      <c r="F23" s="286"/>
      <c r="G23" s="110">
        <f>G18+G19</f>
        <v>26000.000000000004</v>
      </c>
    </row>
  </sheetData>
  <mergeCells count="3">
    <mergeCell ref="E23:F23"/>
    <mergeCell ref="B21:E21"/>
    <mergeCell ref="B20:E20"/>
  </mergeCells>
  <phoneticPr fontId="2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Word.Document.8" shapeId="4097" r:id="rId3">
          <objectPr defaultSize="0" r:id="rId4">
            <anchor moveWithCells="1">
              <from>
                <xdr:col>0</xdr:col>
                <xdr:colOff>412750</xdr:colOff>
                <xdr:row>0</xdr:row>
                <xdr:rowOff>152400</xdr:rowOff>
              </from>
              <to>
                <xdr:col>8</xdr:col>
                <xdr:colOff>431800</xdr:colOff>
                <xdr:row>12</xdr:row>
                <xdr:rowOff>50800</xdr:rowOff>
              </to>
            </anchor>
          </objectPr>
        </oleObject>
      </mc:Choice>
      <mc:Fallback>
        <oleObject progId="Word.Document.8" shapeId="4097" r:id="rId3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3:E41"/>
  <sheetViews>
    <sheetView tabSelected="1" topLeftCell="A17" workbookViewId="0">
      <selection activeCell="E35" sqref="E35:E37"/>
    </sheetView>
  </sheetViews>
  <sheetFormatPr defaultRowHeight="12.5" x14ac:dyDescent="0.25"/>
  <cols>
    <col min="2" max="2" width="22.1796875" customWidth="1"/>
    <col min="3" max="3" width="18.7265625" customWidth="1"/>
    <col min="4" max="4" width="16" customWidth="1"/>
    <col min="5" max="5" width="30.54296875" customWidth="1"/>
  </cols>
  <sheetData>
    <row r="23" spans="2:5" ht="13" thickBot="1" x14ac:dyDescent="0.3"/>
    <row r="24" spans="2:5" x14ac:dyDescent="0.25">
      <c r="B24" s="290" t="s">
        <v>59</v>
      </c>
      <c r="C24" s="289" t="s">
        <v>67</v>
      </c>
      <c r="D24" s="289"/>
      <c r="E24" s="287" t="s">
        <v>66</v>
      </c>
    </row>
    <row r="25" spans="2:5" x14ac:dyDescent="0.25">
      <c r="B25" s="291"/>
      <c r="C25" s="1" t="s">
        <v>64</v>
      </c>
      <c r="D25" s="1" t="s">
        <v>65</v>
      </c>
      <c r="E25" s="288"/>
    </row>
    <row r="26" spans="2:5" x14ac:dyDescent="0.25">
      <c r="B26" s="103" t="s">
        <v>60</v>
      </c>
      <c r="C26" s="1">
        <v>2</v>
      </c>
      <c r="D26" s="1">
        <v>14</v>
      </c>
      <c r="E26" s="114">
        <v>112</v>
      </c>
    </row>
    <row r="27" spans="2:5" x14ac:dyDescent="0.25">
      <c r="B27" s="103" t="s">
        <v>61</v>
      </c>
      <c r="C27" s="1">
        <v>4</v>
      </c>
      <c r="D27" s="1">
        <v>6</v>
      </c>
      <c r="E27" s="114">
        <v>70</v>
      </c>
    </row>
    <row r="28" spans="2:5" x14ac:dyDescent="0.25">
      <c r="B28" s="103" t="s">
        <v>62</v>
      </c>
      <c r="C28" s="1">
        <v>6</v>
      </c>
      <c r="D28" s="1">
        <v>4</v>
      </c>
      <c r="E28" s="114">
        <v>80</v>
      </c>
    </row>
    <row r="29" spans="2:5" ht="13" thickBot="1" x14ac:dyDescent="0.3">
      <c r="B29" s="104" t="s">
        <v>63</v>
      </c>
      <c r="C29" s="20">
        <v>16</v>
      </c>
      <c r="D29" s="20">
        <v>12</v>
      </c>
      <c r="E29" s="122"/>
    </row>
    <row r="30" spans="2:5" ht="13" thickBot="1" x14ac:dyDescent="0.3">
      <c r="B30" s="123" t="s">
        <v>68</v>
      </c>
      <c r="C30" s="124">
        <v>12000</v>
      </c>
      <c r="D30" s="125">
        <v>7500</v>
      </c>
    </row>
    <row r="32" spans="2:5" ht="13" thickBot="1" x14ac:dyDescent="0.3"/>
    <row r="33" spans="2:5" x14ac:dyDescent="0.25">
      <c r="B33" s="290" t="s">
        <v>59</v>
      </c>
      <c r="C33" s="289"/>
      <c r="D33" s="289"/>
      <c r="E33" s="287" t="s">
        <v>121</v>
      </c>
    </row>
    <row r="34" spans="2:5" x14ac:dyDescent="0.25">
      <c r="B34" s="291"/>
      <c r="C34" s="1" t="s">
        <v>64</v>
      </c>
      <c r="D34" s="1" t="s">
        <v>65</v>
      </c>
      <c r="E34" s="288"/>
    </row>
    <row r="35" spans="2:5" x14ac:dyDescent="0.25">
      <c r="B35" s="103" t="s">
        <v>60</v>
      </c>
      <c r="C35" s="1">
        <v>17</v>
      </c>
      <c r="D35" s="1">
        <v>0</v>
      </c>
      <c r="E35" s="114">
        <f>C35+D35</f>
        <v>17</v>
      </c>
    </row>
    <row r="36" spans="2:5" x14ac:dyDescent="0.25">
      <c r="B36" s="103" t="s">
        <v>61</v>
      </c>
      <c r="C36" s="1">
        <v>8</v>
      </c>
      <c r="D36" s="1">
        <v>0</v>
      </c>
      <c r="E36" s="114">
        <f t="shared" ref="E36:E37" si="0">C36+D36</f>
        <v>8</v>
      </c>
    </row>
    <row r="37" spans="2:5" x14ac:dyDescent="0.25">
      <c r="B37" s="103" t="s">
        <v>62</v>
      </c>
      <c r="C37" s="1">
        <v>9</v>
      </c>
      <c r="D37" s="1">
        <v>30</v>
      </c>
      <c r="E37" s="114">
        <f t="shared" si="0"/>
        <v>39</v>
      </c>
    </row>
    <row r="38" spans="2:5" ht="13" thickBot="1" x14ac:dyDescent="0.3"/>
    <row r="39" spans="2:5" x14ac:dyDescent="0.25">
      <c r="B39" s="101" t="s">
        <v>22</v>
      </c>
      <c r="C39" s="105">
        <f>C35/C26*1000+C36/C27*1000+C37/C28*1000</f>
        <v>12000</v>
      </c>
      <c r="D39" s="102">
        <f>D35/D26*1000+D36/D27*1000+D37/D28*1000</f>
        <v>7500</v>
      </c>
    </row>
    <row r="40" spans="2:5" ht="13" thickBot="1" x14ac:dyDescent="0.3">
      <c r="B40" s="126" t="s">
        <v>69</v>
      </c>
      <c r="C40" s="106">
        <f>C39*C29</f>
        <v>192000</v>
      </c>
      <c r="D40" s="106">
        <f>D39*D29</f>
        <v>90000</v>
      </c>
    </row>
    <row r="41" spans="2:5" ht="13" thickBot="1" x14ac:dyDescent="0.3">
      <c r="B41" s="127" t="s">
        <v>70</v>
      </c>
      <c r="C41" s="128">
        <f>C40+D40</f>
        <v>282000</v>
      </c>
      <c r="D41" s="115"/>
    </row>
  </sheetData>
  <mergeCells count="6">
    <mergeCell ref="E24:E25"/>
    <mergeCell ref="C24:D24"/>
    <mergeCell ref="B24:B25"/>
    <mergeCell ref="B33:B34"/>
    <mergeCell ref="C33:D33"/>
    <mergeCell ref="E33:E34"/>
  </mergeCells>
  <phoneticPr fontId="0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Word.Document.8" shapeId="5121" r:id="rId3">
          <objectPr defaultSiz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1733550</xdr:colOff>
                <xdr:row>20</xdr:row>
                <xdr:rowOff>31750</xdr:rowOff>
              </to>
            </anchor>
          </objectPr>
        </oleObject>
      </mc:Choice>
      <mc:Fallback>
        <oleObject progId="Word.Document.8" shapeId="5121" r:id="rId3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K27"/>
  <sheetViews>
    <sheetView topLeftCell="A4" workbookViewId="0">
      <selection activeCell="I19" sqref="I19"/>
    </sheetView>
  </sheetViews>
  <sheetFormatPr defaultRowHeight="12.5" x14ac:dyDescent="0.25"/>
  <cols>
    <col min="3" max="3" width="23.1796875" customWidth="1"/>
    <col min="4" max="4" width="11.54296875" bestFit="1" customWidth="1"/>
    <col min="5" max="5" width="12.54296875" customWidth="1"/>
    <col min="6" max="6" width="11.54296875" bestFit="1" customWidth="1"/>
  </cols>
  <sheetData>
    <row r="1" spans="1:11" x14ac:dyDescent="0.25">
      <c r="A1" s="293" t="s">
        <v>87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</row>
    <row r="2" spans="1:11" ht="47.25" customHeight="1" x14ac:dyDescent="0.25">
      <c r="A2" s="293"/>
      <c r="B2" s="293"/>
      <c r="C2" s="293"/>
      <c r="D2" s="293"/>
      <c r="E2" s="293"/>
      <c r="F2" s="293"/>
      <c r="G2" s="293"/>
      <c r="H2" s="293"/>
      <c r="I2" s="293"/>
      <c r="J2" s="293"/>
      <c r="K2" s="293"/>
    </row>
    <row r="6" spans="1:11" ht="17.5" x14ac:dyDescent="0.35">
      <c r="C6" s="292" t="s">
        <v>88</v>
      </c>
      <c r="D6" s="292"/>
      <c r="E6" s="292"/>
      <c r="F6" s="292"/>
    </row>
    <row r="7" spans="1:11" ht="13.5" thickBot="1" x14ac:dyDescent="0.35">
      <c r="C7" s="109"/>
      <c r="D7" s="136" t="s">
        <v>76</v>
      </c>
      <c r="E7" s="136" t="s">
        <v>77</v>
      </c>
      <c r="F7" s="136" t="s">
        <v>78</v>
      </c>
    </row>
    <row r="8" spans="1:11" ht="13" x14ac:dyDescent="0.3">
      <c r="C8" s="137" t="s">
        <v>71</v>
      </c>
      <c r="D8" s="138">
        <v>58</v>
      </c>
      <c r="E8" s="138">
        <v>47</v>
      </c>
      <c r="F8" s="139">
        <v>108</v>
      </c>
    </row>
    <row r="9" spans="1:11" ht="13" x14ac:dyDescent="0.3">
      <c r="C9" s="131" t="s">
        <v>72</v>
      </c>
      <c r="D9" s="130">
        <v>87</v>
      </c>
      <c r="E9" s="130">
        <v>46</v>
      </c>
      <c r="F9" s="140">
        <v>100</v>
      </c>
    </row>
    <row r="10" spans="1:11" ht="13" x14ac:dyDescent="0.3">
      <c r="C10" s="131" t="s">
        <v>73</v>
      </c>
      <c r="D10" s="130">
        <v>121</v>
      </c>
      <c r="E10" s="130">
        <v>30</v>
      </c>
      <c r="F10" s="140">
        <v>57</v>
      </c>
    </row>
    <row r="11" spans="1:11" ht="13" x14ac:dyDescent="0.3">
      <c r="C11" s="131" t="s">
        <v>74</v>
      </c>
      <c r="D11" s="130">
        <v>149</v>
      </c>
      <c r="E11" s="130">
        <v>66</v>
      </c>
      <c r="F11" s="140">
        <v>83</v>
      </c>
    </row>
    <row r="12" spans="1:11" ht="13" x14ac:dyDescent="0.3">
      <c r="C12" s="131" t="s">
        <v>75</v>
      </c>
      <c r="D12" s="130">
        <v>62</v>
      </c>
      <c r="E12" s="130">
        <v>115</v>
      </c>
      <c r="F12" s="140">
        <v>164</v>
      </c>
    </row>
    <row r="13" spans="1:11" ht="13.5" thickBot="1" x14ac:dyDescent="0.35">
      <c r="C13" s="134" t="s">
        <v>79</v>
      </c>
      <c r="D13" s="142">
        <v>128</v>
      </c>
      <c r="E13" s="142">
        <v>28</v>
      </c>
      <c r="F13" s="143">
        <v>38</v>
      </c>
    </row>
    <row r="14" spans="1:11" ht="13.5" thickBot="1" x14ac:dyDescent="0.35">
      <c r="C14" s="144" t="s">
        <v>36</v>
      </c>
      <c r="D14" s="145">
        <v>400</v>
      </c>
      <c r="E14" s="145">
        <v>350</v>
      </c>
      <c r="F14" s="146">
        <v>500</v>
      </c>
    </row>
    <row r="15" spans="1:11" ht="13" x14ac:dyDescent="0.3">
      <c r="C15" s="151" t="s">
        <v>85</v>
      </c>
      <c r="D15" s="238">
        <f>D14-E27</f>
        <v>130.00000000000006</v>
      </c>
      <c r="E15" s="238">
        <f t="shared" ref="E15:F15" si="0">E14-F27</f>
        <v>0</v>
      </c>
      <c r="F15" s="238">
        <f t="shared" si="0"/>
        <v>125</v>
      </c>
      <c r="G15" s="152" t="s">
        <v>84</v>
      </c>
    </row>
    <row r="16" spans="1:11" ht="13.5" thickBot="1" x14ac:dyDescent="0.35">
      <c r="C16" s="147" t="s">
        <v>86</v>
      </c>
      <c r="D16" s="148">
        <f>SUMPRODUCT(D8:D13,E21:E26)</f>
        <v>16139.999999999996</v>
      </c>
      <c r="E16" s="148">
        <f t="shared" ref="E16:F16" si="1">SUMPRODUCT(E8:E13,F21:F26)</f>
        <v>14999.999999999998</v>
      </c>
      <c r="F16" s="148">
        <f t="shared" si="1"/>
        <v>24375</v>
      </c>
      <c r="G16" s="153">
        <f>SUM(D16:F16)</f>
        <v>55514.999999999993</v>
      </c>
    </row>
    <row r="17" spans="3:8" ht="13" x14ac:dyDescent="0.3">
      <c r="C17" s="149"/>
      <c r="D17" s="150"/>
      <c r="E17" s="150"/>
      <c r="F17" s="150"/>
    </row>
    <row r="18" spans="3:8" ht="13" thickBot="1" x14ac:dyDescent="0.3"/>
    <row r="19" spans="3:8" ht="13" x14ac:dyDescent="0.3">
      <c r="C19" s="297" t="s">
        <v>80</v>
      </c>
      <c r="D19" s="299" t="s">
        <v>81</v>
      </c>
      <c r="E19" s="294" t="s">
        <v>82</v>
      </c>
      <c r="F19" s="295"/>
      <c r="G19" s="296"/>
      <c r="H19" s="301" t="s">
        <v>83</v>
      </c>
    </row>
    <row r="20" spans="3:8" ht="13" x14ac:dyDescent="0.3">
      <c r="C20" s="298"/>
      <c r="D20" s="300"/>
      <c r="E20" s="132" t="s">
        <v>76</v>
      </c>
      <c r="F20" s="129" t="s">
        <v>77</v>
      </c>
      <c r="G20" s="133" t="s">
        <v>78</v>
      </c>
      <c r="H20" s="302"/>
    </row>
    <row r="21" spans="3:8" ht="13" x14ac:dyDescent="0.3">
      <c r="C21" s="131" t="s">
        <v>71</v>
      </c>
      <c r="D21" s="141">
        <v>150</v>
      </c>
      <c r="E21" s="154">
        <v>150</v>
      </c>
      <c r="F21" s="154">
        <v>0</v>
      </c>
      <c r="G21" s="154">
        <v>0</v>
      </c>
      <c r="H21" s="141">
        <f>SUM(E21:G21)</f>
        <v>150</v>
      </c>
    </row>
    <row r="22" spans="3:8" ht="13" x14ac:dyDescent="0.3">
      <c r="C22" s="131" t="s">
        <v>72</v>
      </c>
      <c r="D22" s="141">
        <v>225</v>
      </c>
      <c r="E22" s="154">
        <v>0</v>
      </c>
      <c r="F22" s="154">
        <v>225.00000000000009</v>
      </c>
      <c r="G22" s="154">
        <v>0</v>
      </c>
      <c r="H22" s="141">
        <f t="shared" ref="H22:H27" si="2">SUM(E22:G22)</f>
        <v>225.00000000000009</v>
      </c>
    </row>
    <row r="23" spans="3:8" ht="13" x14ac:dyDescent="0.3">
      <c r="C23" s="131" t="s">
        <v>73</v>
      </c>
      <c r="D23" s="141">
        <v>100</v>
      </c>
      <c r="E23" s="154">
        <v>0</v>
      </c>
      <c r="F23" s="154">
        <v>100.00000000000001</v>
      </c>
      <c r="G23" s="154">
        <v>0</v>
      </c>
      <c r="H23" s="141">
        <f t="shared" si="2"/>
        <v>100.00000000000001</v>
      </c>
    </row>
    <row r="24" spans="3:8" ht="13" x14ac:dyDescent="0.3">
      <c r="C24" s="131" t="s">
        <v>74</v>
      </c>
      <c r="D24" s="141">
        <v>250</v>
      </c>
      <c r="E24" s="154">
        <v>0</v>
      </c>
      <c r="F24" s="154">
        <v>24.999999999999929</v>
      </c>
      <c r="G24" s="154">
        <v>225</v>
      </c>
      <c r="H24" s="141">
        <f t="shared" si="2"/>
        <v>249.99999999999994</v>
      </c>
    </row>
    <row r="25" spans="3:8" ht="13" x14ac:dyDescent="0.3">
      <c r="C25" s="131" t="s">
        <v>75</v>
      </c>
      <c r="D25" s="141">
        <v>120</v>
      </c>
      <c r="E25" s="154">
        <v>119.99999999999996</v>
      </c>
      <c r="F25" s="154">
        <v>0</v>
      </c>
      <c r="G25" s="154">
        <v>0</v>
      </c>
      <c r="H25" s="141">
        <f t="shared" si="2"/>
        <v>119.99999999999996</v>
      </c>
    </row>
    <row r="26" spans="3:8" ht="13.5" thickBot="1" x14ac:dyDescent="0.35">
      <c r="C26" s="134" t="s">
        <v>79</v>
      </c>
      <c r="D26" s="141">
        <v>150</v>
      </c>
      <c r="E26" s="154">
        <v>0</v>
      </c>
      <c r="F26" s="154">
        <v>0</v>
      </c>
      <c r="G26" s="154">
        <v>150.00000000000003</v>
      </c>
      <c r="H26" s="141">
        <f t="shared" si="2"/>
        <v>150.00000000000003</v>
      </c>
    </row>
    <row r="27" spans="3:8" ht="13.5" thickBot="1" x14ac:dyDescent="0.35">
      <c r="C27" s="135" t="s">
        <v>84</v>
      </c>
      <c r="D27" s="141">
        <f>SUM(D21:D26)</f>
        <v>995</v>
      </c>
      <c r="E27" s="141">
        <f>SUM(E21:E26)</f>
        <v>269.99999999999994</v>
      </c>
      <c r="F27" s="141">
        <f>SUM(F21:F26)</f>
        <v>350.00000000000006</v>
      </c>
      <c r="G27" s="141">
        <f>SUM(G21:G26)</f>
        <v>375</v>
      </c>
      <c r="H27" s="141">
        <f t="shared" si="2"/>
        <v>995</v>
      </c>
    </row>
  </sheetData>
  <mergeCells count="6">
    <mergeCell ref="C6:F6"/>
    <mergeCell ref="A1:K2"/>
    <mergeCell ref="E19:G19"/>
    <mergeCell ref="C19:C20"/>
    <mergeCell ref="D19:D20"/>
    <mergeCell ref="H19:H20"/>
  </mergeCells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I14" sqref="I14:P27"/>
    </sheetView>
  </sheetViews>
  <sheetFormatPr defaultRowHeight="12.5" x14ac:dyDescent="0.25"/>
  <sheetData/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"/>
  <sheetViews>
    <sheetView workbookViewId="0"/>
  </sheetViews>
  <sheetFormatPr defaultRowHeight="12.5" x14ac:dyDescent="0.25"/>
  <sheetData/>
  <phoneticPr fontId="2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955A54DABDE3C479D19992335FCCDCE" ma:contentTypeVersion="4" ma:contentTypeDescription="Створення нового документа." ma:contentTypeScope="" ma:versionID="17f16b9049d248e34b52ec9a128713c4">
  <xsd:schema xmlns:xsd="http://www.w3.org/2001/XMLSchema" xmlns:xs="http://www.w3.org/2001/XMLSchema" xmlns:p="http://schemas.microsoft.com/office/2006/metadata/properties" xmlns:ns2="861d21cc-bac8-473a-9e11-bd4934e3cebb" targetNamespace="http://schemas.microsoft.com/office/2006/metadata/properties" ma:root="true" ma:fieldsID="6c6c2b16dc6d7c55727432f4101b6879" ns2:_="">
    <xsd:import namespace="861d21cc-bac8-473a-9e11-bd4934e3cebb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1d21cc-bac8-473a-9e11-bd4934e3cebb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вмісту"/>
        <xsd:element ref="dc:title" minOccurs="0" maxOccurs="1" ma:index="4" ma:displayName="Заголовок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8E0D28-153A-439F-B705-D99F83A26B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13EE1FD-BB34-49B3-BBC8-4E0304198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1d21cc-bac8-473a-9e11-bd4934e3ce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8</vt:i4>
      </vt:variant>
    </vt:vector>
  </HeadingPairs>
  <TitlesOfParts>
    <vt:vector size="20" baseType="lpstr">
      <vt:lpstr>варіанти</vt:lpstr>
      <vt:lpstr>Структура сценария</vt:lpstr>
      <vt:lpstr>Аналіз в ручну+сценарії+макроси</vt:lpstr>
      <vt:lpstr>Аналіз_ табл підстановок</vt:lpstr>
      <vt:lpstr>Задача1</vt:lpstr>
      <vt:lpstr>Задача2</vt:lpstr>
      <vt:lpstr>3</vt:lpstr>
      <vt:lpstr>4.1</vt:lpstr>
      <vt:lpstr>4.2</vt:lpstr>
      <vt:lpstr>5.1</vt:lpstr>
      <vt:lpstr>5.2</vt:lpstr>
      <vt:lpstr>5.3</vt:lpstr>
      <vt:lpstr>Загальна_сума</vt:lpstr>
      <vt:lpstr>Загальна_сума_комісійних</vt:lpstr>
      <vt:lpstr>Перший_взнос</vt:lpstr>
      <vt:lpstr>Помісячна_плата</vt:lpstr>
      <vt:lpstr>Процентна_ставка</vt:lpstr>
      <vt:lpstr>Розмір_ссуди</vt:lpstr>
      <vt:lpstr>Строк_погашення_ссуди</vt:lpstr>
      <vt:lpstr>Ціна</vt:lpstr>
    </vt:vector>
  </TitlesOfParts>
  <Company>HPK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KOLOMIIETS VADYM</dc:creator>
  <cp:lastModifiedBy>KOLOMIIETS VADYM</cp:lastModifiedBy>
  <dcterms:created xsi:type="dcterms:W3CDTF">2007-01-18T08:19:07Z</dcterms:created>
  <dcterms:modified xsi:type="dcterms:W3CDTF">2023-11-06T09:00:13Z</dcterms:modified>
</cp:coreProperties>
</file>